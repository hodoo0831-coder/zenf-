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과제개요" sheetId="1" state="visible" r:id="rId3"/>
    <sheet name="01_문제발굴_워크플로우템플릿" sheetId="2" state="visible" r:id="rId4"/>
    <sheet name="02_우선순위_ROI" sheetId="3" state="visible" r:id="rId5"/>
    <sheet name="03_파이프라인_상세설계" sheetId="4" state="visible" r:id="rId6"/>
    <sheet name="04_클로드_요청프롬프트" sheetId="5" state="visible" r:id="rId7"/>
    <sheet name="05_기준값_가정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WenQuanYi Zen Hei"/>
            <family val="2"/>
          </rPr>
          <t xml:space="preserve">교재 강조 항목</t>
        </r>
        <r>
          <rPr>
            <sz val="10"/>
            <rFont val="Arial"/>
            <family val="2"/>
          </rPr>
          <t xml:space="preserve">(★): </t>
        </r>
        <r>
          <rPr>
            <sz val="10"/>
            <rFont val="WenQuanYi Zen Hei"/>
            <family val="2"/>
          </rPr>
          <t xml:space="preserve">도입 전 베이스라인 수치를 먼저 기록해야 효과를 증명할 수 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베이스라인 수치는 담당자 실측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최근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개월 평균 기준이며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정식 착수 전 재측정 필요</t>
        </r>
        <r>
          <rPr>
            <sz val="10"/>
            <rFont val="Arial"/>
            <family val="2"/>
          </rPr>
          <t xml:space="preserve">.</t>
        </r>
      </text>
    </comment>
    <comment ref="J4" authorId="0">
      <text>
        <r>
          <rPr>
            <sz val="10"/>
            <rFont val="WenQuanYi Zen Hei"/>
            <family val="2"/>
          </rPr>
          <t xml:space="preserve">교재 강조 항목</t>
        </r>
        <r>
          <rPr>
            <sz val="10"/>
            <rFont val="Arial"/>
            <family val="2"/>
          </rPr>
          <t xml:space="preserve">(★): </t>
        </r>
        <r>
          <rPr>
            <sz val="10"/>
            <rFont val="WenQuanYi Zen Hei"/>
            <family val="2"/>
          </rPr>
          <t xml:space="preserve">되돌리기 어려운 행동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외부 발송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삭제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덮어쓰기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은 반드시 사람 승인 후 실행으로 명시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<sst xmlns="http://schemas.openxmlformats.org/spreadsheetml/2006/main" count="363" uniqueCount="313">
  <si>
    <r>
      <rPr>
        <b val="true"/>
        <sz val="15"/>
        <color rgb="FF1F3864"/>
        <rFont val="WenQuanYi Zen Hei"/>
        <family val="2"/>
      </rPr>
      <t xml:space="preserve">제니엘 </t>
    </r>
    <r>
      <rPr>
        <b val="true"/>
        <sz val="15"/>
        <color rgb="FF1F3864"/>
        <rFont val="맑은 고딕"/>
        <family val="0"/>
        <charset val="1"/>
      </rPr>
      <t xml:space="preserve">AX </t>
    </r>
    <r>
      <rPr>
        <b val="true"/>
        <sz val="15"/>
        <color rgb="FF1F3864"/>
        <rFont val="WenQuanYi Zen Hei"/>
        <family val="2"/>
      </rPr>
      <t xml:space="preserve">내부 전문가 양성 교육 — </t>
    </r>
    <r>
      <rPr>
        <b val="true"/>
        <sz val="15"/>
        <color rgb="FF1F3864"/>
        <rFont val="맑은 고딕"/>
        <family val="0"/>
        <charset val="1"/>
      </rPr>
      <t xml:space="preserve">Day1 (3) </t>
    </r>
    <r>
      <rPr>
        <b val="true"/>
        <sz val="15"/>
        <color rgb="FF1F3864"/>
        <rFont val="WenQuanYi Zen Hei"/>
        <family val="2"/>
      </rPr>
      <t xml:space="preserve">클로드 에이전틱 파이프라인 자동화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</si>
  <si>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실습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과제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WenQuanYi Zen Hei"/>
        <family val="2"/>
      </rPr>
      <t xml:space="preserve">기업 부서별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업무 </t>
    </r>
    <r>
      <rPr>
        <sz val="9"/>
        <color rgb="FF595959"/>
        <rFont val="맑은 고딕"/>
        <family val="0"/>
        <charset val="1"/>
      </rPr>
      <t xml:space="preserve">Use Case</t>
    </r>
    <r>
      <rPr>
        <sz val="9"/>
        <color rgb="FF595959"/>
        <rFont val="WenQuanYi Zen Hei"/>
        <family val="2"/>
      </rPr>
      <t xml:space="preserve">의 에이전틱 파이프라인 과제 도출  </t>
    </r>
    <r>
      <rPr>
        <sz val="9"/>
        <color rgb="FF595959"/>
        <rFont val="맑은 고딕"/>
        <family val="0"/>
        <charset val="1"/>
      </rPr>
      <t xml:space="preserve">|  </t>
    </r>
    <r>
      <rPr>
        <sz val="9"/>
        <color rgb="FF595959"/>
        <rFont val="WenQuanYi Zen Hei"/>
        <family val="2"/>
      </rPr>
      <t xml:space="preserve">교재 </t>
    </r>
    <r>
      <rPr>
        <sz val="9"/>
        <color rgb="FF595959"/>
        <rFont val="맑은 고딕"/>
        <family val="0"/>
        <charset val="1"/>
      </rPr>
      <t xml:space="preserve">v1.3 (2026-08-20) 5</t>
    </r>
    <r>
      <rPr>
        <sz val="9"/>
        <color rgb="FF595959"/>
        <rFont val="WenQuanYi Zen Hei"/>
        <family val="2"/>
      </rPr>
      <t xml:space="preserve">장 템플릿 기준</t>
    </r>
  </si>
  <si>
    <t xml:space="preserve">과제명</t>
  </si>
  <si>
    <r>
      <rPr>
        <sz val="10"/>
        <rFont val="맑은 고딕"/>
        <family val="0"/>
        <charset val="1"/>
      </rPr>
      <t xml:space="preserve">AP </t>
    </r>
    <r>
      <rPr>
        <sz val="10"/>
        <rFont val="WenQuanYi Zen Hei"/>
        <family val="2"/>
      </rPr>
      <t xml:space="preserve">대전공장 도급운영 센터 — 업무 </t>
    </r>
    <r>
      <rPr>
        <sz val="10"/>
        <rFont val="맑은 고딕"/>
        <family val="0"/>
        <charset val="1"/>
      </rPr>
      <t xml:space="preserve">Use Case 9</t>
    </r>
    <r>
      <rPr>
        <sz val="10"/>
        <rFont val="WenQuanYi Zen Hei"/>
        <family val="2"/>
      </rPr>
      <t xml:space="preserve">건의 에이전틱 파이프라인 과제 도출</t>
    </r>
  </si>
  <si>
    <r>
      <rPr>
        <b val="true"/>
        <sz val="10"/>
        <color rgb="FF1F3864"/>
        <rFont val="WenQuanYi Zen Hei"/>
        <family val="2"/>
      </rPr>
      <t xml:space="preserve">제출자 </t>
    </r>
    <r>
      <rPr>
        <b val="true"/>
        <sz val="10"/>
        <color rgb="FF1F3864"/>
        <rFont val="맑은 고딕"/>
        <family val="0"/>
        <charset val="1"/>
      </rPr>
      <t xml:space="preserve">/ </t>
    </r>
    <r>
      <rPr>
        <b val="true"/>
        <sz val="10"/>
        <color rgb="FF1F3864"/>
        <rFont val="WenQuanYi Zen Hei"/>
        <family val="2"/>
      </rPr>
      <t xml:space="preserve">소속</t>
    </r>
  </si>
  <si>
    <r>
      <rPr>
        <sz val="10"/>
        <rFont val="WenQuanYi Zen Hei"/>
        <family val="2"/>
      </rPr>
      <t xml:space="preserve">제니엘 본사 관리직 대리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現 </t>
    </r>
    <r>
      <rPr>
        <sz val="10"/>
        <rFont val="맑은 고딕"/>
        <family val="0"/>
        <charset val="1"/>
      </rPr>
      <t xml:space="preserve">AP </t>
    </r>
    <r>
      <rPr>
        <sz val="10"/>
        <rFont val="WenQuanYi Zen Hei"/>
        <family val="2"/>
      </rPr>
      <t xml:space="preserve">대전공장 센터 배치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현장 운영 총괄</t>
    </r>
    <r>
      <rPr>
        <sz val="10"/>
        <rFont val="맑은 고딕"/>
        <family val="0"/>
        <charset val="1"/>
      </rPr>
      <t xml:space="preserve">)</t>
    </r>
  </si>
  <si>
    <t xml:space="preserve">적용 조직</t>
  </si>
  <si>
    <r>
      <rPr>
        <sz val="10"/>
        <rFont val="맑은 고딕"/>
        <family val="0"/>
        <charset val="1"/>
      </rPr>
      <t xml:space="preserve">AP </t>
    </r>
    <r>
      <rPr>
        <sz val="10"/>
        <rFont val="WenQuanYi Zen Hei"/>
        <family val="2"/>
      </rPr>
      <t xml:space="preserve">대전공장 도급운영 센터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아모레퍼시픽 생산도급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업무도급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코스비전 생산도급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업무도급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개 계약 약 </t>
    </r>
    <r>
      <rPr>
        <sz val="10"/>
        <rFont val="맑은 고딕"/>
        <family val="0"/>
        <charset val="1"/>
      </rPr>
      <t xml:space="preserve">354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</si>
  <si>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t xml:space="preserve">작성일</t>
  </si>
  <si>
    <t xml:space="preserve">2026-08-20</t>
  </si>
  <si>
    <t xml:space="preserve">버전</t>
  </si>
  <si>
    <t xml:space="preserve">v1.0</t>
  </si>
  <si>
    <t xml:space="preserve">과제 범위</t>
  </si>
  <si>
    <r>
      <rPr>
        <sz val="10"/>
        <rFont val="WenQuanYi Zen Hei"/>
        <family val="2"/>
      </rPr>
      <t xml:space="preserve">교재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장 </t>
    </r>
    <r>
      <rPr>
        <sz val="10"/>
        <rFont val="맑은 고딕"/>
        <family val="0"/>
        <charset val="1"/>
      </rPr>
      <t xml:space="preserve">'AX </t>
    </r>
    <r>
      <rPr>
        <sz val="10"/>
        <rFont val="WenQuanYi Zen Hei"/>
        <family val="2"/>
      </rPr>
      <t xml:space="preserve">문제발굴 및 워크플로우 템플릿</t>
    </r>
    <r>
      <rPr>
        <sz val="10"/>
        <rFont val="맑은 고딕"/>
        <family val="0"/>
        <charset val="1"/>
      </rPr>
      <t xml:space="preserve">' 12</t>
    </r>
    <r>
      <rPr>
        <sz val="10"/>
        <rFont val="WenQuanYi Zen Hei"/>
        <family val="2"/>
      </rPr>
      <t xml:space="preserve">개 항목을 실제 운영 업무 기준으로 전수 작성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① 임팩트</t>
    </r>
    <r>
      <rPr>
        <sz val="10"/>
        <rFont val="맑은 고딕"/>
        <family val="0"/>
        <charset val="1"/>
      </rPr>
      <t xml:space="preserve">×</t>
    </r>
    <r>
      <rPr>
        <sz val="10"/>
        <rFont val="WenQuanYi Zen Hei"/>
        <family val="2"/>
      </rPr>
      <t xml:space="preserve">난이도 우선순위 산정 ② 절감공수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비용 환산 ③ 상위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건의 파이프라인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트리거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계획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실행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검증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상세설계 ④ 클로드에 그대로 입력 가능한 요청 프롬프트 원문을 추가했다</t>
    </r>
    <r>
      <rPr>
        <sz val="10"/>
        <rFont val="맑은 고딕"/>
        <family val="0"/>
        <charset val="1"/>
      </rPr>
      <t xml:space="preserve">.</t>
    </r>
  </si>
  <si>
    <t xml:space="preserve">선정 기준</t>
  </si>
  <si>
    <r>
      <rPr>
        <sz val="10"/>
        <rFont val="WenQuanYi Zen Hei"/>
        <family val="2"/>
      </rPr>
      <t xml:space="preserve">교재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장 설계원칙 그대로 — 반복성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주기적으로 같은 유형이 발생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규칙성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처리 절차를 말로 설명할 수 있음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검증 가능성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결과가 맞았는지 확인할 명확한 기준이 있음</t>
    </r>
    <r>
      <rPr>
        <sz val="10"/>
        <rFont val="맑은 고딕"/>
        <family val="0"/>
        <charset val="1"/>
      </rPr>
      <t xml:space="preserve">) 3</t>
    </r>
    <r>
      <rPr>
        <sz val="10"/>
        <rFont val="WenQuanYi Zen Hei"/>
        <family val="2"/>
      </rPr>
      <t xml:space="preserve">가지를 동시에 만족하는 업무만 채택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판단 기준이 매번 달라지는 창의 업무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사람만 판단할 수 있는 노무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징계 의사결정은 의도적으로 제외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</si>
  <si>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WenQuanYi Zen Hei"/>
        <family val="2"/>
      </rPr>
      <t xml:space="preserve">제외 사례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의도적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</si>
  <si>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노무 징계 판단 — 절차적 공정성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사실관계 판단이 필요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자동화 부적합 ② 원청 협상 전략 수립 — 매 건 판단 기준이 다름 ③ 인사 평가 — 민감 의사결정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이들 업무의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자료 수집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단계는 별건으로 자동화 가능</t>
    </r>
    <r>
      <rPr>
        <sz val="10"/>
        <rFont val="맑은 고딕"/>
        <family val="0"/>
        <charset val="1"/>
      </rPr>
      <t xml:space="preserve">.</t>
    </r>
  </si>
  <si>
    <t xml:space="preserve">결론 요약</t>
  </si>
  <si>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건 도출 →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순위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즉시 착수</t>
    </r>
    <r>
      <rPr>
        <sz val="10"/>
        <rFont val="맑은 고딕"/>
        <family val="0"/>
        <charset val="1"/>
      </rPr>
      <t xml:space="preserve">), 2</t>
    </r>
    <r>
      <rPr>
        <sz val="10"/>
        <rFont val="WenQuanYi Zen Hei"/>
        <family val="2"/>
      </rPr>
      <t xml:space="preserve">순위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순위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연간 절감 관리공수 약 </t>
    </r>
    <r>
      <rPr>
        <sz val="10"/>
        <rFont val="맑은 고딕"/>
        <family val="0"/>
        <charset val="1"/>
      </rPr>
      <t xml:space="preserve">1,102 M·H, </t>
    </r>
    <r>
      <rPr>
        <sz val="10"/>
        <rFont val="WenQuanYi Zen Hei"/>
        <family val="2"/>
      </rPr>
      <t xml:space="preserve">임률 준용 환산 약 </t>
    </r>
    <r>
      <rPr>
        <sz val="10"/>
        <rFont val="맑은 고딕"/>
        <family val="0"/>
        <charset val="1"/>
      </rPr>
      <t xml:space="preserve">3,870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. Wave 1(UC-03·04)</t>
    </r>
    <r>
      <rPr>
        <sz val="10"/>
        <rFont val="WenQuanYi Zen Hei"/>
        <family val="2"/>
      </rPr>
      <t xml:space="preserve">은 보유 </t>
    </r>
    <r>
      <rPr>
        <sz val="10"/>
        <rFont val="맑은 고딕"/>
        <family val="0"/>
        <charset val="1"/>
      </rPr>
      <t xml:space="preserve">Skill </t>
    </r>
    <r>
      <rPr>
        <sz val="10"/>
        <rFont val="WenQuanYi Zen Hei"/>
        <family val="2"/>
      </rPr>
      <t xml:space="preserve">재사용으로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내 적용 가능</t>
    </r>
    <r>
      <rPr>
        <sz val="10"/>
        <rFont val="맑은 고딕"/>
        <family val="0"/>
        <charset val="1"/>
      </rPr>
      <t xml:space="preserve">, Wave 2(UC-01·02)</t>
    </r>
    <r>
      <rPr>
        <sz val="10"/>
        <rFont val="WenQuanYi Zen Hei"/>
        <family val="2"/>
      </rPr>
      <t xml:space="preserve">가 실질 임팩트의 핵심</t>
    </r>
    <r>
      <rPr>
        <sz val="10"/>
        <rFont val="맑은 고딕"/>
        <family val="0"/>
        <charset val="1"/>
      </rPr>
      <t xml:space="preserve">.</t>
    </r>
  </si>
  <si>
    <t xml:space="preserve">정량 해석 주의</t>
  </si>
  <si>
    <r>
      <rPr>
        <sz val="10"/>
        <rFont val="WenQuanYi Zen Hei"/>
        <family val="2"/>
      </rPr>
      <t xml:space="preserve">절감액은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인건비가 사라지는 금액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관리공수를 다른 업무로 재배치할 수 있는 가치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관리직 공수를 도급 임률</t>
    </r>
    <r>
      <rPr>
        <sz val="10"/>
        <rFont val="맑은 고딕"/>
        <family val="0"/>
        <charset val="1"/>
      </rPr>
      <t xml:space="preserve">(35,121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/M·H)</t>
    </r>
    <r>
      <rPr>
        <sz val="10"/>
        <rFont val="WenQuanYi Zen Hei"/>
        <family val="2"/>
      </rPr>
      <t xml:space="preserve">로 준용한 보수적 추정이며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임원 보고 시 이 전제를 함께 제시할 것</t>
    </r>
    <r>
      <rPr>
        <sz val="10"/>
        <rFont val="맑은 고딕"/>
        <family val="0"/>
        <charset val="1"/>
      </rPr>
      <t xml:space="preserve">.</t>
    </r>
  </si>
  <si>
    <t xml:space="preserve">시트 구성</t>
  </si>
  <si>
    <r>
      <rPr>
        <sz val="10"/>
        <rFont val="맑은 고딕"/>
        <family val="0"/>
        <charset val="1"/>
      </rPr>
      <t xml:space="preserve">01 </t>
    </r>
    <r>
      <rPr>
        <sz val="10"/>
        <rFont val="WenQuanYi Zen Hei"/>
        <family val="2"/>
      </rPr>
      <t xml:space="preserve">문제발굴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워크플로우 템플릿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제출 본문</t>
    </r>
    <r>
      <rPr>
        <sz val="10"/>
        <rFont val="맑은 고딕"/>
        <family val="0"/>
        <charset val="1"/>
      </rPr>
      <t xml:space="preserve">) / 02 </t>
    </r>
    <r>
      <rPr>
        <sz val="10"/>
        <rFont val="WenQuanYi Zen Hei"/>
        <family val="2"/>
      </rPr>
      <t xml:space="preserve">우선순위</t>
    </r>
    <r>
      <rPr>
        <sz val="10"/>
        <rFont val="맑은 고딕"/>
        <family val="0"/>
        <charset val="1"/>
      </rPr>
      <t xml:space="preserve">·ROI / 03 </t>
    </r>
    <r>
      <rPr>
        <sz val="10"/>
        <rFont val="WenQuanYi Zen Hei"/>
        <family val="2"/>
      </rPr>
      <t xml:space="preserve">파이프라인 상세설계 </t>
    </r>
    <r>
      <rPr>
        <sz val="10"/>
        <rFont val="맑은 고딕"/>
        <family val="0"/>
        <charset val="1"/>
      </rPr>
      <t xml:space="preserve">/ 04 </t>
    </r>
    <r>
      <rPr>
        <sz val="10"/>
        <rFont val="WenQuanYi Zen Hei"/>
        <family val="2"/>
      </rPr>
      <t xml:space="preserve">클로드 요청 프롬프트 </t>
    </r>
    <r>
      <rPr>
        <sz val="10"/>
        <rFont val="맑은 고딕"/>
        <family val="0"/>
        <charset val="1"/>
      </rPr>
      <t xml:space="preserve">/ 05 </t>
    </r>
    <r>
      <rPr>
        <sz val="10"/>
        <rFont val="WenQuanYi Zen Hei"/>
        <family val="2"/>
      </rPr>
      <t xml:space="preserve">기준값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가정</t>
    </r>
  </si>
  <si>
    <t xml:space="preserve">입력 셀 안내</t>
  </si>
  <si>
    <r>
      <rPr>
        <sz val="10"/>
        <rFont val="WenQuanYi Zen Hei"/>
        <family val="2"/>
      </rPr>
      <t xml:space="preserve">노란색 배경 셀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실제 값으로 갱신할 항목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임률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베이스라인 공수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 외 흰색 셀은 서술 항목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회색 셀은 수식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직접 입력 금지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</si>
  <si>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5"/>
        <color rgb="FF1F3864"/>
        <rFont val="맑은 고딕"/>
        <family val="0"/>
        <charset val="1"/>
      </rPr>
      <t xml:space="preserve">AX </t>
    </r>
    <r>
      <rPr>
        <b val="true"/>
        <sz val="15"/>
        <color rgb="FF1F3864"/>
        <rFont val="WenQuanYi Zen Hei"/>
        <family val="2"/>
      </rPr>
      <t xml:space="preserve">문제발굴 및 워크플로우 템플릿 — </t>
    </r>
    <r>
      <rPr>
        <b val="true"/>
        <sz val="15"/>
        <color rgb="FF1F3864"/>
        <rFont val="맑은 고딕"/>
        <family val="0"/>
        <charset val="1"/>
      </rPr>
      <t xml:space="preserve">AP </t>
    </r>
    <r>
      <rPr>
        <b val="true"/>
        <sz val="15"/>
        <color rgb="FF1F3864"/>
        <rFont val="WenQuanYi Zen Hei"/>
        <family val="2"/>
      </rPr>
      <t xml:space="preserve">대전공장 도급운영 센터</t>
    </r>
  </si>
  <si>
    <r>
      <rPr>
        <sz val="9"/>
        <color rgb="FF595959"/>
        <rFont val="WenQuanYi Zen Hei"/>
        <family val="2"/>
      </rPr>
      <t xml:space="preserve">교재 </t>
    </r>
    <r>
      <rPr>
        <sz val="9"/>
        <color rgb="FF595959"/>
        <rFont val="맑은 고딕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장 항목 정의 그대로 </t>
    </r>
    <r>
      <rPr>
        <sz val="9"/>
        <color rgb="FF595959"/>
        <rFont val="맑은 고딕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개 컬럼 작성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우선순위는 </t>
    </r>
    <r>
      <rPr>
        <sz val="9"/>
        <color rgb="FF595959"/>
        <rFont val="맑은 고딕"/>
        <family val="0"/>
        <charset val="1"/>
      </rPr>
      <t xml:space="preserve">02 </t>
    </r>
    <r>
      <rPr>
        <sz val="9"/>
        <color rgb="FF595959"/>
        <rFont val="WenQuanYi Zen Hei"/>
        <family val="2"/>
      </rPr>
      <t xml:space="preserve">시트 산정 결과와 연동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검증</t>
    </r>
    <r>
      <rPr>
        <sz val="9"/>
        <color rgb="FF595959"/>
        <rFont val="맑은 고딕"/>
        <family val="0"/>
        <charset val="1"/>
      </rPr>
      <t xml:space="preserve">(Verify) </t>
    </r>
    <r>
      <rPr>
        <sz val="9"/>
        <color rgb="FF595959"/>
        <rFont val="WenQuanYi Zen Hei"/>
        <family val="2"/>
      </rPr>
      <t xml:space="preserve">단계는 전 건 필수 포함</t>
    </r>
  </si>
  <si>
    <t xml:space="preserve">No</t>
  </si>
  <si>
    <r>
      <rPr>
        <b val="true"/>
        <sz val="10"/>
        <color rgb="FFFFFFFF"/>
        <rFont val="맑은 고딕"/>
        <family val="0"/>
        <charset val="1"/>
      </rPr>
      <t xml:space="preserve">Use Case (</t>
    </r>
    <r>
      <rPr>
        <b val="true"/>
        <sz val="10"/>
        <color rgb="FFFFFFFF"/>
        <rFont val="WenQuanYi Zen Hei"/>
        <family val="2"/>
      </rPr>
      <t xml:space="preserve">업무명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</si>
  <si>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조직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개인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팀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전사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</si>
  <si>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문제정의 </t>
    </r>
    <r>
      <rPr>
        <b val="true"/>
        <sz val="10"/>
        <color rgb="FFFFFFFF"/>
        <rFont val="맑은 고딕"/>
        <family val="0"/>
        <charset val="1"/>
      </rPr>
      <t xml:space="preserve">(As-Is)</t>
    </r>
  </si>
  <si>
    <r>
      <rPr>
        <b val="true"/>
        <sz val="10"/>
        <color rgb="FFFFFFFF"/>
        <rFont val="WenQuanYi Zen Hei"/>
        <family val="2"/>
      </rPr>
      <t xml:space="preserve">해결문제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목표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</si>
  <si>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성공지표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측정방법</t>
    </r>
  </si>
  <si>
    <r>
      <rPr>
        <b val="true"/>
        <sz val="10"/>
        <color rgb="FFFFFFFF"/>
        <rFont val="WenQuanYi Zen Hei"/>
        <family val="2"/>
      </rPr>
      <t xml:space="preserve">우선순위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임팩트</t>
    </r>
    <r>
      <rPr>
        <b val="true"/>
        <sz val="10"/>
        <color rgb="FFFFFFFF"/>
        <rFont val="맑은 고딕"/>
        <family val="0"/>
        <charset val="1"/>
      </rPr>
      <t xml:space="preserve">×</t>
    </r>
    <r>
      <rPr>
        <b val="true"/>
        <sz val="10"/>
        <color rgb="FFFFFFFF"/>
        <rFont val="WenQuanYi Zen Hei"/>
        <family val="2"/>
      </rPr>
      <t xml:space="preserve">난이도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</si>
  <si>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작업순서 워크플로우</t>
  </si>
  <si>
    <r>
      <rPr>
        <b val="true"/>
        <sz val="10"/>
        <color rgb="FFFFFFFF"/>
        <rFont val="WenQuanYi Zen Hei"/>
        <family val="2"/>
      </rPr>
      <t xml:space="preserve">관련 </t>
    </r>
    <r>
      <rPr>
        <b val="true"/>
        <sz val="10"/>
        <color rgb="FFFFFFFF"/>
        <rFont val="맑은 고딕"/>
        <family val="0"/>
        <charset val="1"/>
      </rPr>
      <t xml:space="preserve">Tool (Model/Skill/MCP)</t>
    </r>
  </si>
  <si>
    <r>
      <rPr>
        <b val="true"/>
        <sz val="10"/>
        <color rgb="FFFFFFFF"/>
        <rFont val="WenQuanYi Zen Hei"/>
        <family val="2"/>
      </rPr>
      <t xml:space="preserve">권한범위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승인 필요여부</t>
    </r>
  </si>
  <si>
    <r>
      <rPr>
        <b val="true"/>
        <sz val="10"/>
        <color rgb="FFFFFFFF"/>
        <rFont val="WenQuanYi Zen Hei"/>
        <family val="2"/>
      </rPr>
      <t xml:space="preserve">산출물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결과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</si>
  <si>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작업주기</t>
  </si>
  <si>
    <r>
      <rPr>
        <b val="true"/>
        <sz val="10"/>
        <color rgb="FFFFFFFF"/>
        <rFont val="WenQuanYi Zen Hei"/>
        <family val="2"/>
      </rPr>
      <t xml:space="preserve">담당자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오너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</si>
  <si>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상태</t>
  </si>
  <si>
    <t xml:space="preserve">UC-01</t>
  </si>
  <si>
    <r>
      <rPr>
        <sz val="9"/>
        <rFont val="WenQuanYi Zen Hei"/>
        <family val="2"/>
      </rPr>
      <t xml:space="preserve">월 마감 정산자료 자동 집계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고객</t>
    </r>
    <r>
      <rPr>
        <sz val="9"/>
        <rFont val="맑은 고딕"/>
        <family val="0"/>
        <charset val="1"/>
      </rPr>
      <t xml:space="preserve">×</t>
    </r>
    <r>
      <rPr>
        <sz val="9"/>
        <rFont val="WenQuanYi Zen Hei"/>
        <family val="2"/>
      </rPr>
      <t xml:space="preserve">계약유형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</si>
  <si>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팀 — 센터 관리팀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본사 정산</t>
    </r>
  </si>
  <si>
    <r>
      <rPr>
        <sz val="9"/>
        <rFont val="WenQuanYi Zen Hei"/>
        <family val="2"/>
      </rPr>
      <t xml:space="preserve">매월 초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영업일간 담당자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명이 </t>
    </r>
    <r>
      <rPr>
        <sz val="9"/>
        <rFont val="맑은 고딕"/>
        <family val="0"/>
        <charset val="1"/>
      </rPr>
      <t xml:space="preserve">AP </t>
    </r>
    <r>
      <rPr>
        <sz val="9"/>
        <rFont val="WenQuanYi Zen Hei"/>
        <family val="2"/>
      </rPr>
      <t xml:space="preserve">생산도급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업무도급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코스비전 생산도급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업무도급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계약의 근태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·LOSS</t>
    </r>
    <r>
      <rPr>
        <sz val="9"/>
        <rFont val="WenQuanYi Zen Hei"/>
        <family val="2"/>
      </rPr>
      <t xml:space="preserve">를 서로 다른 원장에서 수집해 수기 취합한다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계약당 평균 </t>
    </r>
    <r>
      <rPr>
        <sz val="9"/>
        <rFont val="맑은 고딕"/>
        <family val="0"/>
        <charset val="1"/>
      </rPr>
      <t xml:space="preserve">12H, 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48H. </t>
    </r>
    <r>
      <rPr>
        <sz val="9"/>
        <rFont val="WenQuanYi Zen Hei"/>
        <family val="2"/>
      </rPr>
      <t xml:space="preserve">계약별 집계 기준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마감 절단일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대체투입 처리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달라 본사 반려에 따른 재작업이 월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건 발생한다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</si>
  <si>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계약 마감자료 작성공수 </t>
    </r>
    <r>
      <rPr>
        <sz val="9"/>
        <rFont val="맑은 고딕"/>
        <family val="0"/>
        <charset val="1"/>
      </rPr>
      <t xml:space="preserve">48H → 12H(75% </t>
    </r>
    <r>
      <rPr>
        <sz val="9"/>
        <rFont val="WenQuanYi Zen Hei"/>
        <family val="2"/>
      </rPr>
      <t xml:space="preserve">단축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계약 간 기준 불일치로 인한 재작업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</si>
  <si>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48H/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본사 반려 </t>
    </r>
    <r>
      <rPr>
        <sz val="9"/>
        <rFont val="맑은 고딕"/>
        <family val="0"/>
        <charset val="1"/>
      </rPr>
      <t xml:space="preserve">2.5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최근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개월 평균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12H/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반려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마감 종료 후 담당자 실작업시간 로그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본사 반려 건수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매월 마감일 익일 센터장 확인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</si>
  <si>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상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중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</si>
  <si>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 원장 파일 업로드 </t>
    </r>
    <r>
      <rPr>
        <sz val="9"/>
        <rFont val="맑은 고딕"/>
        <family val="0"/>
        <charset val="1"/>
      </rPr>
      <t xml:space="preserve">+ /</t>
    </r>
    <r>
      <rPr>
        <sz val="9"/>
        <rFont val="WenQuanYi Zen Hei"/>
        <family val="2"/>
      </rPr>
      <t xml:space="preserve">월마감 명령어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계약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축 분리 파싱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정규화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수집 서브에이전트</t>
    </r>
    <r>
      <rPr>
        <sz val="9"/>
        <rFont val="맑은 고딕"/>
        <family val="0"/>
        <charset val="1"/>
      </rPr>
      <t xml:space="preserve">]
③ 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·LOSS·</t>
    </r>
    <r>
      <rPr>
        <sz val="9"/>
        <rFont val="WenQuanYi Zen Hei"/>
        <family val="2"/>
      </rPr>
      <t xml:space="preserve">인원 집계표 생성 </t>
    </r>
    <r>
      <rPr>
        <sz val="9"/>
        <rFont val="맑은 고딕"/>
        <family val="0"/>
        <charset val="1"/>
      </rPr>
      <t xml:space="preserve">[xlsx Skill]
④ </t>
    </r>
    <r>
      <rPr>
        <sz val="9"/>
        <rFont val="WenQuanYi Zen Hei"/>
        <family val="2"/>
      </rPr>
      <t xml:space="preserve">전월 대비 증감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합계 정합성 검증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검증 서브에이전트</t>
    </r>
    <r>
      <rPr>
        <sz val="9"/>
        <rFont val="맑은 고딕"/>
        <family val="0"/>
        <charset val="1"/>
      </rPr>
      <t xml:space="preserve">]
⑤ </t>
    </r>
    <r>
      <rPr>
        <sz val="9"/>
        <rFont val="WenQuanYi Zen Hei"/>
        <family val="2"/>
      </rPr>
      <t xml:space="preserve">이상 발견 시 보고 후 정지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정상 시 신규 파일 저장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</si>
  <si>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Sonnet(</t>
    </r>
    <r>
      <rPr>
        <sz val="9"/>
        <rFont val="WenQuanYi Zen Hei"/>
        <family val="2"/>
      </rPr>
      <t xml:space="preserve">집계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정합성</t>
    </r>
    <r>
      <rPr>
        <sz val="9"/>
        <rFont val="맑은 고딕"/>
        <family val="0"/>
        <charset val="1"/>
      </rPr>
      <t xml:space="preserve">) + xlsx Skill + /</t>
    </r>
    <r>
      <rPr>
        <sz val="9"/>
        <rFont val="WenQuanYi Zen Hei"/>
        <family val="2"/>
      </rPr>
      <t xml:space="preserve">월마감 커스텀 명령어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검증 서브에이전트</t>
    </r>
    <r>
      <rPr>
        <sz val="9"/>
        <rFont val="맑은 고딕"/>
        <family val="0"/>
        <charset val="1"/>
      </rPr>
      <t xml:space="preserve">(Haiku, </t>
    </r>
    <r>
      <rPr>
        <sz val="9"/>
        <rFont val="WenQuanYi Zen Hei"/>
        <family val="2"/>
      </rPr>
      <t xml:space="preserve">단순 대조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</si>
  <si>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 전용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 생성만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원본 원장 수정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삭제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개인 근태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개인정보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포함 → 사내 처리 한정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외부 전송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본사 제출 전 센터장 승인 필수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</si>
  <si>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계약별 마감 집계 </t>
    </r>
    <r>
      <rPr>
        <sz val="9"/>
        <rFont val="맑은 고딕"/>
        <family val="0"/>
        <charset val="1"/>
      </rPr>
      <t xml:space="preserve">.xlsx (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파일명 규칙</t>
    </r>
    <r>
      <rPr>
        <sz val="9"/>
        <rFont val="맑은 고딕"/>
        <family val="0"/>
        <charset val="1"/>
      </rPr>
      <t xml:space="preserve">: YYYYMM_</t>
    </r>
    <r>
      <rPr>
        <sz val="9"/>
        <rFont val="WenQuanYi Zen Hei"/>
        <family val="2"/>
      </rPr>
      <t xml:space="preserve">고객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계약유형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마감</t>
    </r>
    <r>
      <rPr>
        <sz val="9"/>
        <rFont val="맑은 고딕"/>
        <family val="0"/>
        <charset val="1"/>
      </rPr>
      <t xml:space="preserve">_v1) + </t>
    </r>
    <r>
      <rPr>
        <sz val="9"/>
        <rFont val="WenQuanYi Zen Hei"/>
        <family val="2"/>
      </rPr>
      <t xml:space="preserve">전월 대비 증감 요약</t>
    </r>
  </si>
  <si>
    <r>
      <rPr>
        <sz val="9"/>
        <rFont val="WenQuanYi Zen Hei"/>
        <family val="2"/>
      </rPr>
      <t xml:space="preserve">매월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마감 스케줄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</si>
  <si>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관리팀 대리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</t>
    </r>
  </si>
  <si>
    <t xml:space="preserve">아이디어</t>
  </si>
  <si>
    <t xml:space="preserve">UC-02</t>
  </si>
  <si>
    <r>
      <rPr>
        <sz val="9"/>
        <rFont val="맑은 고딕"/>
        <family val="0"/>
        <charset val="1"/>
      </rPr>
      <t xml:space="preserve">MES LOSS </t>
    </r>
    <r>
      <rPr>
        <sz val="9"/>
        <rFont val="WenQuanYi Zen Hei"/>
        <family val="2"/>
      </rPr>
      <t xml:space="preserve">귀책 자동 분류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월간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리포트</t>
    </r>
  </si>
  <si>
    <r>
      <rPr>
        <sz val="9"/>
        <rFont val="WenQuanYi Zen Hei"/>
        <family val="2"/>
      </rPr>
      <t xml:space="preserve">팀 — 센터 관리팀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원청 협상 근거로 확장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</si>
  <si>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MES LOSS </t>
    </r>
    <r>
      <rPr>
        <sz val="9"/>
        <rFont val="WenQuanYi Zen Hei"/>
        <family val="2"/>
      </rPr>
      <t xml:space="preserve">원시데이터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천 행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사유 텍스트 기준으로 원청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도급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공통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분류로 수작업 판정한다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16H </t>
    </r>
    <r>
      <rPr>
        <sz val="9"/>
        <rFont val="WenQuanYi Zen Hei"/>
        <family val="2"/>
      </rPr>
      <t xml:space="preserve">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분류자에 따라 공통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판정이 흔들려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원청 협상 테이블에서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기준 일관성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지적을 받은 사례가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</si>
  <si>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귀책 분류 공수 </t>
    </r>
    <r>
      <rPr>
        <sz val="9"/>
        <rFont val="맑은 고딕"/>
        <family val="0"/>
        <charset val="1"/>
      </rPr>
      <t xml:space="preserve">16H → 3H, </t>
    </r>
    <r>
      <rPr>
        <sz val="9"/>
        <rFont val="WenQuanYi Zen Hei"/>
        <family val="2"/>
      </rPr>
      <t xml:space="preserve">동일 사유코드에 대한 분류 일관성 </t>
    </r>
    <r>
      <rPr>
        <sz val="9"/>
        <rFont val="맑은 고딕"/>
        <family val="0"/>
        <charset val="1"/>
      </rPr>
      <t xml:space="preserve">100%(</t>
    </r>
    <r>
      <rPr>
        <sz val="9"/>
        <rFont val="WenQuanYi Zen Hei"/>
        <family val="2"/>
      </rPr>
      <t xml:space="preserve">같은 사유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항상 같은 귀책</t>
    </r>
    <r>
      <rPr>
        <sz val="9"/>
        <rFont val="맑은 고딕"/>
        <family val="0"/>
        <charset val="1"/>
      </rPr>
      <t xml:space="preserve">).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</si>
  <si>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16H/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사유코드 기준 분류 불일치 최근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개월 </t>
    </r>
    <r>
      <rPr>
        <sz val="9"/>
        <rFont val="맑은 고딕"/>
        <family val="0"/>
        <charset val="1"/>
      </rPr>
      <t xml:space="preserve">11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3H/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불일치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월말 표본 </t>
    </r>
    <r>
      <rPr>
        <sz val="9"/>
        <rFont val="맑은 고딕"/>
        <family val="0"/>
        <charset val="1"/>
      </rPr>
      <t xml:space="preserve">50</t>
    </r>
    <r>
      <rPr>
        <sz val="9"/>
        <rFont val="WenQuanYi Zen Hei"/>
        <family val="2"/>
      </rPr>
      <t xml:space="preserve">행 역검증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보류건 판정 소요일수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센터장 검토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</si>
  <si>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① MES </t>
    </r>
    <r>
      <rPr>
        <sz val="9"/>
        <rFont val="WenQuanYi Zen Hei"/>
        <family val="2"/>
      </rPr>
      <t xml:space="preserve">추출파일 업로드 </t>
    </r>
    <r>
      <rPr>
        <sz val="9"/>
        <rFont val="맑은 고딕"/>
        <family val="0"/>
        <charset val="1"/>
      </rPr>
      <t xml:space="preserve">+ /loss</t>
    </r>
    <r>
      <rPr>
        <sz val="9"/>
        <rFont val="WenQuanYi Zen Hei"/>
        <family val="2"/>
      </rPr>
      <t xml:space="preserve">분석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사유코드 정규화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중복 제거 </t>
    </r>
    <r>
      <rPr>
        <sz val="9"/>
        <rFont val="맑은 고딕"/>
        <family val="0"/>
        <charset val="1"/>
      </rPr>
      <t xml:space="preserve">[Haiku]
③ </t>
    </r>
    <r>
      <rPr>
        <sz val="9"/>
        <rFont val="WenQuanYi Zen Hei"/>
        <family val="2"/>
      </rPr>
      <t xml:space="preserve">귀책 분류 룰 적용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룰 미매칭은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보류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로 격리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분류 서브에이전트</t>
    </r>
    <r>
      <rPr>
        <sz val="9"/>
        <rFont val="맑은 고딕"/>
        <family val="0"/>
        <charset val="1"/>
      </rPr>
      <t xml:space="preserve">]
④ LOSS 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×</t>
    </r>
    <r>
      <rPr>
        <sz val="9"/>
        <rFont val="WenQuanYi Zen Hei"/>
        <family val="2"/>
      </rPr>
      <t xml:space="preserve">임률 비용 환산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효율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환산 병기 </t>
    </r>
    <r>
      <rPr>
        <sz val="9"/>
        <rFont val="맑은 고딕"/>
        <family val="0"/>
        <charset val="1"/>
      </rPr>
      <t xml:space="preserve">[xlsx Skill]
⑤ </t>
    </r>
    <r>
      <rPr>
        <sz val="9"/>
        <rFont val="WenQuanYi Zen Hei"/>
        <family val="2"/>
      </rPr>
      <t xml:space="preserve">보류건 목록을 사람 판정으로 회부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정지 지점</t>
    </r>
    <r>
      <rPr>
        <sz val="9"/>
        <rFont val="맑은 고딕"/>
        <family val="0"/>
        <charset val="1"/>
      </rPr>
      <t xml:space="preserve">]
⑥ </t>
    </r>
    <r>
      <rPr>
        <sz val="9"/>
        <rFont val="WenQuanYi Zen Hei"/>
        <family val="2"/>
      </rPr>
      <t xml:space="preserve">판정 반영 후 월간 리포트 신규 저장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</si>
  <si>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Sonnet + LOSS </t>
    </r>
    <r>
      <rPr>
        <sz val="9"/>
        <rFont val="WenQuanYi Zen Hei"/>
        <family val="2"/>
      </rPr>
      <t xml:space="preserve">귀책분류 </t>
    </r>
    <r>
      <rPr>
        <sz val="9"/>
        <rFont val="맑은 고딕"/>
        <family val="0"/>
        <charset val="1"/>
      </rPr>
      <t xml:space="preserve">Skill(</t>
    </r>
    <r>
      <rPr>
        <sz val="9"/>
        <rFont val="WenQuanYi Zen Hei"/>
        <family val="2"/>
      </rPr>
      <t xml:space="preserve">카테고리 정의서 내장</t>
    </r>
    <r>
      <rPr>
        <sz val="9"/>
        <rFont val="맑은 고딕"/>
        <family val="0"/>
        <charset val="1"/>
      </rPr>
      <t xml:space="preserve">) + xlsx Skill + /loss</t>
    </r>
    <r>
      <rPr>
        <sz val="9"/>
        <rFont val="WenQuanYi Zen Hei"/>
        <family val="2"/>
      </rPr>
      <t xml:space="preserve">분석 명령어</t>
    </r>
  </si>
  <si>
    <r>
      <rPr>
        <sz val="9"/>
        <rFont val="WenQuanYi Zen Hei"/>
        <family val="2"/>
      </rPr>
      <t xml:space="preserve">읽기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분류 룰 자동 변경 금지 — 룰 수정은 사람만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원청 제출본은 센터장 승인 후에만 생성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분류 로직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정의서는 내부 자산 → 외부 전송 금지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결과 수치만 공유</t>
    </r>
    <r>
      <rPr>
        <sz val="9"/>
        <rFont val="맑은 고딕"/>
        <family val="0"/>
        <charset val="1"/>
      </rPr>
      <t xml:space="preserve">).</t>
    </r>
  </si>
  <si>
    <r>
      <rPr>
        <sz val="9"/>
        <rFont val="WenQuanYi Zen Hei"/>
        <family val="2"/>
      </rPr>
      <t xml:space="preserve">월간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리포트 </t>
    </r>
    <r>
      <rPr>
        <sz val="9"/>
        <rFont val="맑은 고딕"/>
        <family val="0"/>
        <charset val="1"/>
      </rPr>
      <t xml:space="preserve">.xlsx (</t>
    </r>
    <r>
      <rPr>
        <sz val="9"/>
        <rFont val="WenQuanYi Zen Hei"/>
        <family val="2"/>
      </rPr>
      <t xml:space="preserve">귀책별 공수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비용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효율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병기</t>
    </r>
    <r>
      <rPr>
        <sz val="9"/>
        <rFont val="맑은 고딕"/>
        <family val="0"/>
        <charset val="1"/>
      </rPr>
      <t xml:space="preserve">) + </t>
    </r>
    <r>
      <rPr>
        <sz val="9"/>
        <rFont val="WenQuanYi Zen Hei"/>
        <family val="2"/>
      </rPr>
      <t xml:space="preserve">보류건 판정 요청 목록</t>
    </r>
  </si>
  <si>
    <t xml:space="preserve">매월</t>
  </si>
  <si>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 / MES </t>
    </r>
    <r>
      <rPr>
        <sz val="9"/>
        <rFont val="WenQuanYi Zen Hei"/>
        <family val="2"/>
      </rPr>
      <t xml:space="preserve">담당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</t>
    </r>
  </si>
  <si>
    <t xml:space="preserve">검증중 — 분류 룰 초안 보유</t>
  </si>
  <si>
    <t xml:space="preserve">UC-03</t>
  </si>
  <si>
    <r>
      <rPr>
        <sz val="9"/>
        <rFont val="WenQuanYi Zen Hei"/>
        <family val="2"/>
      </rPr>
      <t xml:space="preserve">일일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주간 생산계획 지연오더 추출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월별 취합</t>
    </r>
  </si>
  <si>
    <t xml:space="preserve">팀 — 생산관리</t>
  </si>
  <si>
    <r>
      <rPr>
        <sz val="9"/>
        <rFont val="WenQuanYi Zen Hei"/>
        <family val="2"/>
      </rPr>
      <t xml:space="preserve">라인별 일일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주간 생산계획표에서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지연오더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지연품목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으로 표기된 건을 매주 수작업으로 뽑아 취합한다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주 </t>
    </r>
    <r>
      <rPr>
        <sz val="9"/>
        <rFont val="맑은 고딕"/>
        <family val="0"/>
        <charset val="1"/>
      </rPr>
      <t xml:space="preserve">2H. </t>
    </r>
    <r>
      <rPr>
        <sz val="9"/>
        <rFont val="WenQuanYi Zen Hei"/>
        <family val="2"/>
      </rPr>
      <t xml:space="preserve">계획표 양식이 주차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라인마다 미세하게 달라 추출 누락이 최근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개월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건 발생했다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</si>
  <si>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지연오더 추출 공수 주 </t>
    </r>
    <r>
      <rPr>
        <sz val="9"/>
        <rFont val="맑은 고딕"/>
        <family val="0"/>
        <charset val="1"/>
      </rPr>
      <t xml:space="preserve">2H → 10</t>
    </r>
    <r>
      <rPr>
        <sz val="9"/>
        <rFont val="WenQuanYi Zen Hei"/>
        <family val="2"/>
      </rPr>
      <t xml:space="preserve">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지연 표기 건 추출 누락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</si>
  <si>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8H/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누락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/3</t>
    </r>
    <r>
      <rPr>
        <sz val="9"/>
        <rFont val="WenQuanYi Zen Hei"/>
        <family val="2"/>
      </rPr>
      <t xml:space="preserve">개월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1.5H/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누락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원본 계획표의 지연 표기 건수 대비 추출 건수 </t>
    </r>
    <r>
      <rPr>
        <sz val="9"/>
        <rFont val="맑은 고딕"/>
        <family val="0"/>
        <charset val="1"/>
      </rPr>
      <t xml:space="preserve">100% </t>
    </r>
    <r>
      <rPr>
        <sz val="9"/>
        <rFont val="WenQuanYi Zen Hei"/>
        <family val="2"/>
      </rPr>
      <t xml:space="preserve">일치 여부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매주 금요일 자동 대조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</si>
  <si>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중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하 — 전용 </t>
    </r>
    <r>
      <rPr>
        <sz val="9"/>
        <rFont val="맑은 고딕"/>
        <family val="0"/>
        <charset val="1"/>
      </rPr>
      <t xml:space="preserve">Skill </t>
    </r>
    <r>
      <rPr>
        <sz val="9"/>
        <rFont val="WenQuanYi Zen Hei"/>
        <family val="2"/>
      </rPr>
      <t xml:space="preserve">보유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즉시 적용 가능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</si>
  <si>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 계획표</t>
    </r>
    <r>
      <rPr>
        <sz val="9"/>
        <rFont val="맑은 고딕"/>
        <family val="0"/>
        <charset val="1"/>
      </rPr>
      <t xml:space="preserve">(xlsx/zip) </t>
    </r>
    <r>
      <rPr>
        <sz val="9"/>
        <rFont val="WenQuanYi Zen Hei"/>
        <family val="2"/>
      </rPr>
      <t xml:space="preserve">업로드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명령어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지연 표기 행 전수 추출 </t>
    </r>
    <r>
      <rPr>
        <sz val="9"/>
        <rFont val="맑은 고딕"/>
        <family val="0"/>
        <charset val="1"/>
      </rPr>
      <t xml:space="preserve">[delay-order-extractor Skill]
③ </t>
    </r>
    <r>
      <rPr>
        <sz val="9"/>
        <rFont val="WenQuanYi Zen Hei"/>
        <family val="2"/>
      </rPr>
      <t xml:space="preserve">오더별 요약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전체이력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월별취합 생성 </t>
    </r>
    <r>
      <rPr>
        <sz val="9"/>
        <rFont val="맑은 고딕"/>
        <family val="0"/>
        <charset val="1"/>
      </rPr>
      <t xml:space="preserve">[Skill]
④ </t>
    </r>
    <r>
      <rPr>
        <sz val="9"/>
        <rFont val="WenQuanYi Zen Hei"/>
        <family val="2"/>
      </rPr>
      <t xml:space="preserve">원본 지연 건수 </t>
    </r>
    <r>
      <rPr>
        <sz val="9"/>
        <rFont val="맑은 고딕"/>
        <family val="0"/>
        <charset val="1"/>
      </rPr>
      <t xml:space="preserve">vs </t>
    </r>
    <r>
      <rPr>
        <sz val="9"/>
        <rFont val="WenQuanYi Zen Hei"/>
        <family val="2"/>
      </rPr>
      <t xml:space="preserve">추출 건수 대조 검증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불일치 시 정지</t>
    </r>
    <r>
      <rPr>
        <sz val="9"/>
        <rFont val="맑은 고딕"/>
        <family val="0"/>
        <charset val="1"/>
      </rPr>
      <t xml:space="preserve">]
⑤ </t>
    </r>
    <r>
      <rPr>
        <sz val="9"/>
        <rFont val="WenQuanYi Zen Hei"/>
        <family val="2"/>
      </rPr>
      <t xml:space="preserve">통합 엑셀 신규 저장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</si>
  <si>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delay-order-extractor Skill(</t>
    </r>
    <r>
      <rPr>
        <sz val="9"/>
        <rFont val="WenQuanYi Zen Hei"/>
        <family val="2"/>
      </rPr>
      <t xml:space="preserve">기보유</t>
    </r>
    <r>
      <rPr>
        <sz val="9"/>
        <rFont val="맑은 고딕"/>
        <family val="0"/>
        <charset val="1"/>
      </rPr>
      <t xml:space="preserve">) + Claude Haiku(</t>
    </r>
    <r>
      <rPr>
        <sz val="9"/>
        <rFont val="WenQuanYi Zen Hei"/>
        <family val="2"/>
      </rPr>
      <t xml:space="preserve">단순 반복 처리로 비용 최적화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</si>
  <si>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 전용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계획 원본 수정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원청 생산계획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고객 자료 → 외부 공유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승인 불필요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내부 참고용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월별 취합본만 센터장 확인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</si>
  <si>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지연오더 통합 </t>
    </r>
    <r>
      <rPr>
        <sz val="9"/>
        <rFont val="맑은 고딕"/>
        <family val="0"/>
        <charset val="1"/>
      </rPr>
      <t xml:space="preserve">.xlsx (</t>
    </r>
    <r>
      <rPr>
        <sz val="9"/>
        <rFont val="WenQuanYi Zen Hei"/>
        <family val="2"/>
      </rPr>
      <t xml:space="preserve">오더별 요약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전체이력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월별취합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대시보드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시트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</si>
  <si>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매주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월말 취합</t>
    </r>
  </si>
  <si>
    <r>
      <rPr>
        <sz val="9"/>
        <rFont val="WenQuanYi Zen Hei"/>
        <family val="2"/>
      </rPr>
      <t xml:space="preserve">생산관리 담당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</t>
    </r>
  </si>
  <si>
    <t xml:space="preserve">운영중</t>
  </si>
  <si>
    <t xml:space="preserve">UC-04</t>
  </si>
  <si>
    <r>
      <rPr>
        <sz val="9"/>
        <rFont val="WenQuanYi Zen Hei"/>
        <family val="2"/>
      </rPr>
      <t xml:space="preserve">현장 점검 지적사항 → </t>
    </r>
    <r>
      <rPr>
        <sz val="9"/>
        <rFont val="맑은 고딕"/>
        <family val="0"/>
        <charset val="1"/>
      </rPr>
      <t xml:space="preserve">OPL </t>
    </r>
    <r>
      <rPr>
        <sz val="9"/>
        <rFont val="WenQuanYi Zen Hei"/>
        <family val="2"/>
      </rPr>
      <t xml:space="preserve">교육자료 자동 생성</t>
    </r>
  </si>
  <si>
    <r>
      <rPr>
        <sz val="9"/>
        <rFont val="WenQuanYi Zen Hei"/>
        <family val="2"/>
      </rPr>
      <t xml:space="preserve">팀 — 안전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품질</t>
    </r>
  </si>
  <si>
    <r>
      <rPr>
        <sz val="9"/>
        <rFont val="WenQuanYi Zen Hei"/>
        <family val="2"/>
      </rPr>
      <t xml:space="preserve">원청 점검 통지문을 받으면 담당자가 사진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기준을 재편집해 원포인트레슨을 수작업 제작한다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건당 </t>
    </r>
    <r>
      <rPr>
        <sz val="9"/>
        <rFont val="맑은 고딕"/>
        <family val="0"/>
        <charset val="1"/>
      </rPr>
      <t xml:space="preserve">2H, 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3~5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제작 지연으로 현장 전파가 </t>
    </r>
    <r>
      <rPr>
        <sz val="9"/>
        <rFont val="맑은 고딕"/>
        <family val="0"/>
        <charset val="1"/>
      </rPr>
      <t xml:space="preserve">3~5</t>
    </r>
    <r>
      <rPr>
        <sz val="9"/>
        <rFont val="WenQuanYi Zen Hei"/>
        <family val="2"/>
      </rPr>
      <t xml:space="preserve">일 늦어지고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사이 동일 항목이 재적발된 사례가 분기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건 있었다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</si>
  <si>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OPL </t>
    </r>
    <r>
      <rPr>
        <sz val="9"/>
        <rFont val="WenQuanYi Zen Hei"/>
        <family val="2"/>
      </rPr>
      <t xml:space="preserve">제작시간 건당 </t>
    </r>
    <r>
      <rPr>
        <sz val="9"/>
        <rFont val="맑은 고딕"/>
        <family val="0"/>
        <charset val="1"/>
      </rPr>
      <t xml:space="preserve">2H → 15</t>
    </r>
    <r>
      <rPr>
        <sz val="9"/>
        <rFont val="WenQuanYi Zen Hei"/>
        <family val="2"/>
      </rPr>
      <t xml:space="preserve">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통지 접수 후 </t>
    </r>
    <r>
      <rPr>
        <sz val="9"/>
        <rFont val="맑은 고딕"/>
        <family val="0"/>
        <charset val="1"/>
      </rPr>
      <t xml:space="preserve">24</t>
    </r>
    <r>
      <rPr>
        <sz val="9"/>
        <rFont val="WenQuanYi Zen Hei"/>
        <family val="2"/>
      </rPr>
      <t xml:space="preserve">시간 내 현장 전파 </t>
    </r>
    <r>
      <rPr>
        <sz val="9"/>
        <rFont val="맑은 고딕"/>
        <family val="0"/>
        <charset val="1"/>
      </rPr>
      <t xml:space="preserve">100%.</t>
    </r>
  </si>
  <si>
    <r>
      <rPr>
        <sz val="9"/>
        <rFont val="WenQuanYi Zen Hei"/>
        <family val="2"/>
      </rPr>
      <t xml:space="preserve">베이스라인 — 건당 </t>
    </r>
    <r>
      <rPr>
        <sz val="9"/>
        <rFont val="맑은 고딕"/>
        <family val="0"/>
        <charset val="1"/>
      </rPr>
      <t xml:space="preserve">2H, </t>
    </r>
    <r>
      <rPr>
        <sz val="9"/>
        <rFont val="WenQuanYi Zen Hei"/>
        <family val="2"/>
      </rPr>
      <t xml:space="preserve">전파 리드타임 평균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동일항목 재적발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분기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목표 — 건당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리드타임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재적발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분기 이하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통지문 접수일 </t>
    </r>
    <r>
      <rPr>
        <sz val="9"/>
        <rFont val="맑은 고딕"/>
        <family val="0"/>
        <charset val="1"/>
      </rPr>
      <t xml:space="preserve">vs </t>
    </r>
    <r>
      <rPr>
        <sz val="9"/>
        <rFont val="WenQuanYi Zen Hei"/>
        <family val="2"/>
      </rPr>
      <t xml:space="preserve">서명부 교육일자 대조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분기 단위 집계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</si>
  <si>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중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하 — 전용 </t>
    </r>
    <r>
      <rPr>
        <sz val="9"/>
        <rFont val="맑은 고딕"/>
        <family val="0"/>
        <charset val="1"/>
      </rPr>
      <t xml:space="preserve">Skill </t>
    </r>
    <r>
      <rPr>
        <sz val="9"/>
        <rFont val="WenQuanYi Zen Hei"/>
        <family val="2"/>
      </rPr>
      <t xml:space="preserve">보유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</si>
  <si>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 통지문 이미지 업로드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명령어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지적사항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요구기준 추출 </t>
    </r>
    <r>
      <rPr>
        <sz val="9"/>
        <rFont val="맑은 고딕"/>
        <family val="0"/>
        <charset val="1"/>
      </rPr>
      <t xml:space="preserve">[Sonnet, </t>
    </r>
    <r>
      <rPr>
        <sz val="9"/>
        <rFont val="WenQuanYi Zen Hei"/>
        <family val="2"/>
      </rPr>
      <t xml:space="preserve">이미지 판독</t>
    </r>
    <r>
      <rPr>
        <sz val="9"/>
        <rFont val="맑은 고딕"/>
        <family val="0"/>
        <charset val="1"/>
      </rPr>
      <t xml:space="preserve">]
③ </t>
    </r>
    <r>
      <rPr>
        <sz val="9"/>
        <rFont val="WenQuanYi Zen Hei"/>
        <family val="2"/>
      </rPr>
      <t xml:space="preserve">적발</t>
    </r>
    <r>
      <rPr>
        <sz val="9"/>
        <rFont val="맑은 고딕"/>
        <family val="0"/>
        <charset val="1"/>
      </rPr>
      <t xml:space="preserve">(NG)/</t>
    </r>
    <r>
      <rPr>
        <sz val="9"/>
        <rFont val="WenQuanYi Zen Hei"/>
        <family val="2"/>
      </rPr>
      <t xml:space="preserve">준수기준</t>
    </r>
    <r>
      <rPr>
        <sz val="9"/>
        <rFont val="맑은 고딕"/>
        <family val="0"/>
        <charset val="1"/>
      </rPr>
      <t xml:space="preserve">(OK) </t>
    </r>
    <r>
      <rPr>
        <sz val="9"/>
        <rFont val="WenQuanYi Zen Hei"/>
        <family val="2"/>
      </rPr>
      <t xml:space="preserve">비교 카드 생성 </t>
    </r>
    <r>
      <rPr>
        <sz val="9"/>
        <rFont val="맑은 고딕"/>
        <family val="0"/>
        <charset val="1"/>
      </rPr>
      <t xml:space="preserve">[opl-generator Skill]
④ </t>
    </r>
    <r>
      <rPr>
        <sz val="9"/>
        <rFont val="WenQuanYi Zen Hei"/>
        <family val="2"/>
      </rPr>
      <t xml:space="preserve">교육 이수 서명부 페이지 결합 </t>
    </r>
    <r>
      <rPr>
        <sz val="9"/>
        <rFont val="맑은 고딕"/>
        <family val="0"/>
        <charset val="1"/>
      </rPr>
      <t xml:space="preserve">[Skill]
⑤ </t>
    </r>
    <r>
      <rPr>
        <sz val="9"/>
        <rFont val="WenQuanYi Zen Hei"/>
        <family val="2"/>
      </rPr>
      <t xml:space="preserve">생성 문구가 통지문 원문 기준과 일치하는지 대조 검증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정지 지점</t>
    </r>
    <r>
      <rPr>
        <sz val="9"/>
        <rFont val="맑은 고딕"/>
        <family val="0"/>
        <charset val="1"/>
      </rPr>
      <t xml:space="preserve">]
⑥ .pptx </t>
    </r>
    <r>
      <rPr>
        <sz val="9"/>
        <rFont val="WenQuanYi Zen Hei"/>
        <family val="2"/>
      </rPr>
      <t xml:space="preserve">신규 저장 → 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반장 통해 교육 실시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</si>
  <si>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Sonnet(</t>
    </r>
    <r>
      <rPr>
        <sz val="9"/>
        <rFont val="WenQuanYi Zen Hei"/>
        <family val="2"/>
      </rPr>
      <t xml:space="preserve">이미지 판독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문구 생성</t>
    </r>
    <r>
      <rPr>
        <sz val="9"/>
        <rFont val="맑은 고딕"/>
        <family val="0"/>
        <charset val="1"/>
      </rPr>
      <t xml:space="preserve">) + opl-generator Skill(</t>
    </r>
    <r>
      <rPr>
        <sz val="9"/>
        <rFont val="WenQuanYi Zen Hei"/>
        <family val="2"/>
      </rPr>
      <t xml:space="preserve">기보유</t>
    </r>
    <r>
      <rPr>
        <sz val="9"/>
        <rFont val="맑은 고딕"/>
        <family val="0"/>
        <charset val="1"/>
      </rPr>
      <t xml:space="preserve">) + pptx Skill</t>
    </r>
  </si>
  <si>
    <r>
      <rPr>
        <sz val="9"/>
        <rFont val="WenQuanYi Zen Hei"/>
        <family val="2"/>
      </rPr>
      <t xml:space="preserve">읽기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원청 통지문 원본은 사내 한정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외부 전송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개인 귀책 표현 금지 — 공정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항목 단위로만 기재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노무 리스크</t>
    </r>
    <r>
      <rPr>
        <sz val="9"/>
        <rFont val="맑은 고딕"/>
        <family val="0"/>
        <charset val="1"/>
      </rPr>
      <t xml:space="preserve">).
</t>
    </r>
    <r>
      <rPr>
        <sz val="9"/>
        <rFont val="WenQuanYi Zen Hei"/>
        <family val="2"/>
      </rPr>
      <t xml:space="preserve">교육 실시 전 안전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품질 담당 확인 필수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</si>
  <si>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OPL .pptx 2</t>
    </r>
    <r>
      <rPr>
        <sz val="9"/>
        <rFont val="WenQuanYi Zen Hei"/>
        <family val="2"/>
      </rPr>
      <t xml:space="preserve">매 </t>
    </r>
    <r>
      <rPr>
        <sz val="9"/>
        <rFont val="맑은 고딕"/>
        <family val="0"/>
        <charset val="1"/>
      </rPr>
      <t xml:space="preserve">(NG/OK </t>
    </r>
    <r>
      <rPr>
        <sz val="9"/>
        <rFont val="WenQuanYi Zen Hei"/>
        <family val="2"/>
      </rPr>
      <t xml:space="preserve">비교카드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교육 이수 서명부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</si>
  <si>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트리거 기반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</si>
  <si>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안전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품질 담당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</t>
    </r>
  </si>
  <si>
    <t xml:space="preserve">UC-05</t>
  </si>
  <si>
    <r>
      <rPr>
        <sz val="9"/>
        <rFont val="WenQuanYi Zen Hei"/>
        <family val="2"/>
      </rPr>
      <t xml:space="preserve">일일 근태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결원 집계 → 인력 운영 리포트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결원 비용영향 포함</t>
    </r>
    <r>
      <rPr>
        <sz val="9"/>
        <rFont val="맑은 고딕"/>
        <family val="0"/>
        <charset val="1"/>
      </rPr>
      <t xml:space="preserve">)</t>
    </r>
  </si>
  <si>
    <t xml:space="preserve">팀 — 센터 관리팀</t>
  </si>
  <si>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계약 약 </t>
    </r>
    <r>
      <rPr>
        <sz val="9"/>
        <rFont val="맑은 고딕"/>
        <family val="0"/>
        <charset val="1"/>
      </rPr>
      <t xml:space="preserve">354</t>
    </r>
    <r>
      <rPr>
        <sz val="9"/>
        <rFont val="WenQuanYi Zen Hei"/>
        <family val="2"/>
      </rPr>
      <t xml:space="preserve">명의 일일 출결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대체투입을 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반장 개별 보고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카톡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구두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받아 매일 </t>
    </r>
    <r>
      <rPr>
        <sz val="9"/>
        <rFont val="맑은 고딕"/>
        <family val="0"/>
        <charset val="1"/>
      </rPr>
      <t xml:space="preserve">40</t>
    </r>
    <r>
      <rPr>
        <sz val="9"/>
        <rFont val="WenQuanYi Zen Hei"/>
        <family val="2"/>
      </rPr>
      <t xml:space="preserve">분간 수기 정리한다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결원이 당일 공수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효율에 미친 영향은 월말 마감 때가 되어서야 확인된다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</si>
  <si>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일일 집계 </t>
    </r>
    <r>
      <rPr>
        <sz val="9"/>
        <rFont val="맑은 고딕"/>
        <family val="0"/>
        <charset val="1"/>
      </rPr>
      <t xml:space="preserve">40</t>
    </r>
    <r>
      <rPr>
        <sz val="9"/>
        <rFont val="WenQuanYi Zen Hei"/>
        <family val="2"/>
      </rPr>
      <t xml:space="preserve">분 →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결원의 공수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비용 영향 산출 시점을 월말 → 익일로 단축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</si>
  <si>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40</t>
    </r>
    <r>
      <rPr>
        <sz val="9"/>
        <rFont val="WenQuanYi Zen Hei"/>
        <family val="2"/>
      </rPr>
      <t xml:space="preserve">분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 </t>
    </r>
    <r>
      <rPr>
        <sz val="9"/>
        <rFont val="맑은 고딕"/>
        <family val="0"/>
        <charset val="1"/>
      </rPr>
      <t xml:space="preserve">14H/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결원 비용영향 리포팅 시점 월말</t>
    </r>
    <r>
      <rPr>
        <sz val="9"/>
        <rFont val="맑은 고딕"/>
        <family val="0"/>
        <charset val="1"/>
      </rPr>
      <t xml:space="preserve">(D+30).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(1.8H/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), D+1.
</t>
    </r>
    <r>
      <rPr>
        <sz val="9"/>
        <rFont val="WenQuanYi Zen Hei"/>
        <family val="2"/>
      </rPr>
      <t xml:space="preserve">측정 — 일일 리포트 발행률과 발행 시각 로그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 점검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</si>
  <si>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중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중 — 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반장 입력 채널 표준화가 선행 조건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</si>
  <si>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 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반장 표준 양식 출결 입력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매일 </t>
    </r>
    <r>
      <rPr>
        <sz val="9"/>
        <rFont val="맑은 고딕"/>
        <family val="0"/>
        <charset val="1"/>
      </rPr>
      <t xml:space="preserve">08:30 </t>
    </r>
    <r>
      <rPr>
        <sz val="9"/>
        <rFont val="WenQuanYi Zen Hei"/>
        <family val="2"/>
      </rPr>
      <t xml:space="preserve">스케줄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
③ </t>
    </r>
    <r>
      <rPr>
        <sz val="9"/>
        <rFont val="WenQuanYi Zen Hei"/>
        <family val="2"/>
      </rPr>
      <t xml:space="preserve">계약별 재적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출근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결원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대체투입 집계 </t>
    </r>
    <r>
      <rPr>
        <sz val="9"/>
        <rFont val="맑은 고딕"/>
        <family val="0"/>
        <charset val="1"/>
      </rPr>
      <t xml:space="preserve">[Haiku]
④ </t>
    </r>
    <r>
      <rPr>
        <sz val="9"/>
        <rFont val="WenQuanYi Zen Hei"/>
        <family val="2"/>
      </rPr>
      <t xml:space="preserve">결원 공수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임률로 당일 비용영향 산출 </t>
    </r>
    <r>
      <rPr>
        <sz val="9"/>
        <rFont val="맑은 고딕"/>
        <family val="0"/>
        <charset val="1"/>
      </rPr>
      <t xml:space="preserve">[xlsx/HTML Skill]
⑤ </t>
    </r>
    <r>
      <rPr>
        <sz val="9"/>
        <rFont val="WenQuanYi Zen Hei"/>
        <family val="2"/>
      </rPr>
      <t xml:space="preserve">전일 대비 결원율 급증 시 경고 발신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검증</t>
    </r>
    <r>
      <rPr>
        <sz val="9"/>
        <rFont val="맑은 고딕"/>
        <family val="0"/>
        <charset val="1"/>
      </rPr>
      <t xml:space="preserve">]
⑥ </t>
    </r>
    <r>
      <rPr>
        <sz val="9"/>
        <rFont val="WenQuanYi Zen Hei"/>
        <family val="2"/>
      </rPr>
      <t xml:space="preserve">일일 리포트 저장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센터장 요약 보고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</si>
  <si>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Haiku(</t>
    </r>
    <r>
      <rPr>
        <sz val="9"/>
        <rFont val="WenQuanYi Zen Hei"/>
        <family val="2"/>
      </rPr>
      <t xml:space="preserve">정형 집계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비용 최적화</t>
    </r>
    <r>
      <rPr>
        <sz val="9"/>
        <rFont val="맑은 고딕"/>
        <family val="0"/>
        <charset val="1"/>
      </rPr>
      <t xml:space="preserve">) + xlsx·HTML Skill + </t>
    </r>
    <r>
      <rPr>
        <sz val="9"/>
        <rFont val="WenQuanYi Zen Hei"/>
        <family val="2"/>
      </rPr>
      <t xml:space="preserve">스케줄 작업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매일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</si>
  <si>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개인 근태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개인정보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이름 대신 사번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직위 단위로만 집계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개인 식별 리포트 생성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원청 공유본은 인원수 집계만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개인정보 제외</t>
    </r>
    <r>
      <rPr>
        <sz val="9"/>
        <rFont val="맑은 고딕"/>
        <family val="0"/>
        <charset val="1"/>
      </rPr>
      <t xml:space="preserve">).
</t>
    </r>
    <r>
      <rPr>
        <sz val="9"/>
        <rFont val="WenQuanYi Zen Hei"/>
        <family val="2"/>
      </rPr>
      <t xml:space="preserve">읽기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인사 원장 수정 금지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</si>
  <si>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일일 인력 운영 리포트 </t>
    </r>
    <r>
      <rPr>
        <sz val="9"/>
        <rFont val="맑은 고딕"/>
        <family val="0"/>
        <charset val="1"/>
      </rPr>
      <t xml:space="preserve">(HTML </t>
    </r>
    <r>
      <rPr>
        <sz val="9"/>
        <rFont val="WenQuanYi Zen Hei"/>
        <family val="2"/>
      </rPr>
      <t xml:space="preserve">대시보드</t>
    </r>
    <r>
      <rPr>
        <sz val="9"/>
        <rFont val="맑은 고딕"/>
        <family val="0"/>
        <charset val="1"/>
      </rPr>
      <t xml:space="preserve">) + </t>
    </r>
    <r>
      <rPr>
        <sz val="9"/>
        <rFont val="WenQuanYi Zen Hei"/>
        <family val="2"/>
      </rPr>
      <t xml:space="preserve">월 누계 </t>
    </r>
    <r>
      <rPr>
        <sz val="9"/>
        <rFont val="맑은 고딕"/>
        <family val="0"/>
        <charset val="1"/>
      </rPr>
      <t xml:space="preserve">.xlsx</t>
    </r>
  </si>
  <si>
    <r>
      <rPr>
        <sz val="9"/>
        <rFont val="WenQuanYi Zen Hei"/>
        <family val="2"/>
      </rPr>
      <t xml:space="preserve">매일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스케줄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</si>
  <si>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관리팀 대리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</t>
    </r>
  </si>
  <si>
    <t xml:space="preserve">UC-06</t>
  </si>
  <si>
    <t xml:space="preserve">입고확인 파렛 데이터 분석 자동화</t>
  </si>
  <si>
    <t xml:space="preserve">팀 — 업무도급 운영</t>
  </si>
  <si>
    <r>
      <rPr>
        <sz val="9"/>
        <rFont val="WenQuanYi Zen Hei"/>
        <family val="2"/>
      </rPr>
      <t xml:space="preserve">입고확인 파렛 실적을 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 수기 분석한다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6H). </t>
    </r>
    <r>
      <rPr>
        <sz val="9"/>
        <rFont val="WenQuanYi Zen Hei"/>
        <family val="2"/>
      </rPr>
      <t xml:space="preserve">물량 변동 대비 투입 공수의 적정성 판단이 사후에만 가능해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물량이 튄 달의 초과 투입 근거를 원청에 제시하지 못한 사례가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</si>
  <si>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분석 공수 </t>
    </r>
    <r>
      <rPr>
        <sz val="9"/>
        <rFont val="맑은 고딕"/>
        <family val="0"/>
        <charset val="1"/>
      </rPr>
      <t xml:space="preserve">6H → 1H, </t>
    </r>
    <r>
      <rPr>
        <sz val="9"/>
        <rFont val="WenQuanYi Zen Hei"/>
        <family val="2"/>
      </rPr>
      <t xml:space="preserve">파렛당 표준공수 대비 실투입 편차를 매월 자동 산출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</si>
  <si>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6H/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편차 분석 미실시</t>
    </r>
    <r>
      <rPr>
        <sz val="9"/>
        <rFont val="맑은 고딕"/>
        <family val="0"/>
        <charset val="1"/>
      </rPr>
      <t xml:space="preserve">(0</t>
    </r>
    <r>
      <rPr>
        <sz val="9"/>
        <rFont val="WenQuanYi Zen Hei"/>
        <family val="2"/>
      </rPr>
      <t xml:space="preserve">회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1H/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 편차 리포트 </t>
    </r>
    <r>
      <rPr>
        <sz val="9"/>
        <rFont val="맑은 고딕"/>
        <family val="0"/>
        <charset val="1"/>
      </rPr>
      <t xml:space="preserve">100% </t>
    </r>
    <r>
      <rPr>
        <sz val="9"/>
        <rFont val="WenQuanYi Zen Hei"/>
        <family val="2"/>
      </rPr>
      <t xml:space="preserve">발행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리포트 발행 여부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편차 </t>
    </r>
    <r>
      <rPr>
        <sz val="9"/>
        <rFont val="맑은 고딕"/>
        <family val="0"/>
        <charset val="1"/>
      </rPr>
      <t xml:space="preserve">±10% </t>
    </r>
    <r>
      <rPr>
        <sz val="9"/>
        <rFont val="WenQuanYi Zen Hei"/>
        <family val="2"/>
      </rPr>
      <t xml:space="preserve">초과 구간 원인 태깅률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매월 확인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</si>
  <si>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중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</si>
  <si>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 입고 데이터 업로드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명령어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일자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품목별 파렛수 집계 </t>
    </r>
    <r>
      <rPr>
        <sz val="9"/>
        <rFont val="맑은 고딕"/>
        <family val="0"/>
        <charset val="1"/>
      </rPr>
      <t xml:space="preserve">[Haiku]
③ </t>
    </r>
    <r>
      <rPr>
        <sz val="9"/>
        <rFont val="WenQuanYi Zen Hei"/>
        <family val="2"/>
      </rPr>
      <t xml:space="preserve">표준공수 대비 실투입 공수 편차 산출 </t>
    </r>
    <r>
      <rPr>
        <sz val="9"/>
        <rFont val="맑은 고딕"/>
        <family val="0"/>
        <charset val="1"/>
      </rPr>
      <t xml:space="preserve">[xlsx Skill]
④ </t>
    </r>
    <r>
      <rPr>
        <sz val="9"/>
        <rFont val="WenQuanYi Zen Hei"/>
        <family val="2"/>
      </rPr>
      <t xml:space="preserve">편차 </t>
    </r>
    <r>
      <rPr>
        <sz val="9"/>
        <rFont val="맑은 고딕"/>
        <family val="0"/>
        <charset val="1"/>
      </rPr>
      <t xml:space="preserve">±10% </t>
    </r>
    <r>
      <rPr>
        <sz val="9"/>
        <rFont val="WenQuanYi Zen Hei"/>
        <family val="2"/>
      </rPr>
      <t xml:space="preserve">초과 구간 추출 → 원인 태깅 요청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정지 지점</t>
    </r>
    <r>
      <rPr>
        <sz val="9"/>
        <rFont val="맑은 고딕"/>
        <family val="0"/>
        <charset val="1"/>
      </rPr>
      <t xml:space="preserve">]
⑤ </t>
    </r>
    <r>
      <rPr>
        <sz val="9"/>
        <rFont val="WenQuanYi Zen Hei"/>
        <family val="2"/>
      </rPr>
      <t xml:space="preserve">분석 리포트 신규 저장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</si>
  <si>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Sonnet(</t>
    </r>
    <r>
      <rPr>
        <sz val="9"/>
        <rFont val="WenQuanYi Zen Hei"/>
        <family val="2"/>
      </rPr>
      <t xml:space="preserve">편차 해석</t>
    </r>
    <r>
      <rPr>
        <sz val="9"/>
        <rFont val="맑은 고딕"/>
        <family val="0"/>
        <charset val="1"/>
      </rPr>
      <t xml:space="preserve">) + xlsx Skill</t>
    </r>
  </si>
  <si>
    <r>
      <rPr>
        <sz val="9"/>
        <rFont val="WenQuanYi Zen Hei"/>
        <family val="2"/>
      </rPr>
      <t xml:space="preserve">읽기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원청 물량 데이터 → 외부 공유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원청 제시용 자료는 센터장 승인 후 사용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</si>
  <si>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입고 파렛 분석 </t>
    </r>
    <r>
      <rPr>
        <sz val="9"/>
        <rFont val="맑은 고딕"/>
        <family val="0"/>
        <charset val="1"/>
      </rPr>
      <t xml:space="preserve">.xlsx + </t>
    </r>
    <r>
      <rPr>
        <sz val="9"/>
        <rFont val="WenQuanYi Zen Hei"/>
        <family val="2"/>
      </rPr>
      <t xml:space="preserve">편차 상위 구간 요약</t>
    </r>
  </si>
  <si>
    <r>
      <rPr>
        <sz val="9"/>
        <rFont val="WenQuanYi Zen Hei"/>
        <family val="2"/>
      </rPr>
      <t xml:space="preserve">업무도급 담당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</t>
    </r>
  </si>
  <si>
    <t xml:space="preserve">UC-07</t>
  </si>
  <si>
    <r>
      <rPr>
        <sz val="9"/>
        <rFont val="WenQuanYi Zen Hei"/>
        <family val="2"/>
      </rPr>
      <t xml:space="preserve">월간 운영보고 </t>
    </r>
    <r>
      <rPr>
        <sz val="9"/>
        <rFont val="맑은 고딕"/>
        <family val="0"/>
        <charset val="1"/>
      </rPr>
      <t xml:space="preserve">PPT </t>
    </r>
    <r>
      <rPr>
        <sz val="9"/>
        <rFont val="WenQuanYi Zen Hei"/>
        <family val="2"/>
      </rPr>
      <t xml:space="preserve">초안 자동 생성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본사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임원 보고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</si>
  <si>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전사 — 센터 → 본사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임원 협의체</t>
    </r>
  </si>
  <si>
    <r>
      <rPr>
        <sz val="9"/>
        <rFont val="WenQuanYi Zen Hei"/>
        <family val="2"/>
      </rPr>
      <t xml:space="preserve">매월 본사 보고자료를 마감자료</t>
    </r>
    <r>
      <rPr>
        <sz val="9"/>
        <rFont val="맑은 고딕"/>
        <family val="0"/>
        <charset val="1"/>
      </rPr>
      <t xml:space="preserve">·LOSS </t>
    </r>
    <r>
      <rPr>
        <sz val="9"/>
        <rFont val="WenQuanYi Zen Hei"/>
        <family val="2"/>
      </rPr>
      <t xml:space="preserve">리포트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인력 현황에서 수기로 옮겨 작성한다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8H). </t>
    </r>
    <r>
      <rPr>
        <sz val="9"/>
        <rFont val="WenQuanYi Zen Hei"/>
        <family val="2"/>
      </rPr>
      <t xml:space="preserve">원본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종의 수치를 손으로 옮기다 보니 자료 간 불일치가 발생해 보고 직전 수정이 월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건 반복된다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</si>
  <si>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보고 초안 작성 </t>
    </r>
    <r>
      <rPr>
        <sz val="9"/>
        <rFont val="맑은 고딕"/>
        <family val="0"/>
        <charset val="1"/>
      </rPr>
      <t xml:space="preserve">8H → 1.5H, </t>
    </r>
    <r>
      <rPr>
        <sz val="9"/>
        <rFont val="WenQuanYi Zen Hei"/>
        <family val="2"/>
      </rPr>
      <t xml:space="preserve">자료 간 수치 불일치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</si>
  <si>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8H/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수치 불일치 지적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1.5H/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보고 후 본사 수정요청 건수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매월 보고 종료 시점 집계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</si>
  <si>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상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중 — </t>
    </r>
    <r>
      <rPr>
        <sz val="9"/>
        <rFont val="맑은 고딕"/>
        <family val="0"/>
        <charset val="1"/>
      </rPr>
      <t xml:space="preserve">UC-01·02 </t>
    </r>
    <r>
      <rPr>
        <sz val="9"/>
        <rFont val="WenQuanYi Zen Hei"/>
        <family val="2"/>
      </rPr>
      <t xml:space="preserve">산출물이 선행 입력이라 후행 착수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</si>
  <si>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① UC-01·02·05 </t>
    </r>
    <r>
      <rPr>
        <sz val="9"/>
        <rFont val="WenQuanYi Zen Hei"/>
        <family val="2"/>
      </rPr>
      <t xml:space="preserve">산출물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종 입력 </t>
    </r>
    <r>
      <rPr>
        <sz val="9"/>
        <rFont val="맑은 고딕"/>
        <family val="0"/>
        <charset val="1"/>
      </rPr>
      <t xml:space="preserve">+ /</t>
    </r>
    <r>
      <rPr>
        <sz val="9"/>
        <rFont val="WenQuanYi Zen Hei"/>
        <family val="2"/>
      </rPr>
      <t xml:space="preserve">월간보고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표준 목차</t>
    </r>
    <r>
      <rPr>
        <sz val="9"/>
        <rFont val="맑은 고딕"/>
        <family val="0"/>
        <charset val="1"/>
      </rPr>
      <t xml:space="preserve">(KPI–LOSS–</t>
    </r>
    <r>
      <rPr>
        <sz val="9"/>
        <rFont val="WenQuanYi Zen Hei"/>
        <family val="2"/>
      </rPr>
      <t xml:space="preserve">인력–이슈–차월계획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초안 생성 </t>
    </r>
    <r>
      <rPr>
        <sz val="9"/>
        <rFont val="맑은 고딕"/>
        <family val="0"/>
        <charset val="1"/>
      </rPr>
      <t xml:space="preserve">[Opus]
③ </t>
    </r>
    <r>
      <rPr>
        <sz val="9"/>
        <rFont val="WenQuanYi Zen Hei"/>
        <family val="2"/>
      </rPr>
      <t xml:space="preserve">초안 수치와 원본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종 </t>
    </r>
    <r>
      <rPr>
        <sz val="9"/>
        <rFont val="맑은 고딕"/>
        <family val="0"/>
        <charset val="1"/>
      </rPr>
      <t xml:space="preserve">1:1 </t>
    </r>
    <r>
      <rPr>
        <sz val="9"/>
        <rFont val="WenQuanYi Zen Hei"/>
        <family val="2"/>
      </rPr>
      <t xml:space="preserve">대조 검증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검증 서브에이전트</t>
    </r>
    <r>
      <rPr>
        <sz val="9"/>
        <rFont val="맑은 고딕"/>
        <family val="0"/>
        <charset val="1"/>
      </rPr>
      <t xml:space="preserve">]
④ </t>
    </r>
    <r>
      <rPr>
        <sz val="9"/>
        <rFont val="WenQuanYi Zen Hei"/>
        <family val="2"/>
      </rPr>
      <t xml:space="preserve">불일치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건이라도 발견 시 보고 후 정지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정지 지점</t>
    </r>
    <r>
      <rPr>
        <sz val="9"/>
        <rFont val="맑은 고딕"/>
        <family val="0"/>
        <charset val="1"/>
      </rPr>
      <t xml:space="preserve">]
⑤ .pptx </t>
    </r>
    <r>
      <rPr>
        <sz val="9"/>
        <rFont val="WenQuanYi Zen Hei"/>
        <family val="2"/>
      </rPr>
      <t xml:space="preserve">신규 저장 → 센터장 검토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확정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</si>
  <si>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Opus(</t>
    </r>
    <r>
      <rPr>
        <sz val="9"/>
        <rFont val="WenQuanYi Zen Hei"/>
        <family val="2"/>
      </rPr>
      <t xml:space="preserve">구성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논리 판단</t>
    </r>
    <r>
      <rPr>
        <sz val="9"/>
        <rFont val="맑은 고딕"/>
        <family val="0"/>
        <charset val="1"/>
      </rPr>
      <t xml:space="preserve">) + pptx Skill + /</t>
    </r>
    <r>
      <rPr>
        <sz val="9"/>
        <rFont val="WenQuanYi Zen Hei"/>
        <family val="2"/>
      </rPr>
      <t xml:space="preserve">월간보고 명령어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검증 서브에이전트</t>
    </r>
  </si>
  <si>
    <r>
      <rPr>
        <sz val="9"/>
        <rFont val="WenQuanYi Zen Hei"/>
        <family val="2"/>
      </rPr>
      <t xml:space="preserve">읽기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기존 보고서 덮어쓰기 금지</t>
    </r>
    <r>
      <rPr>
        <sz val="9"/>
        <rFont val="맑은 고딕"/>
        <family val="0"/>
        <charset val="1"/>
      </rPr>
      <t xml:space="preserve">).
</t>
    </r>
    <r>
      <rPr>
        <sz val="9"/>
        <rFont val="WenQuanYi Zen Hei"/>
        <family val="2"/>
      </rPr>
      <t xml:space="preserve">임원 보고본 확정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발송은 반드시 센터장 승인 후 사람이 직접 수행 — 자동 발송 금지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</si>
  <si>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월간 운영보고 </t>
    </r>
    <r>
      <rPr>
        <sz val="9"/>
        <rFont val="맑은 고딕"/>
        <family val="0"/>
        <charset val="1"/>
      </rPr>
      <t xml:space="preserve">.pptx </t>
    </r>
    <r>
      <rPr>
        <sz val="9"/>
        <rFont val="WenQuanYi Zen Hei"/>
        <family val="2"/>
      </rPr>
      <t xml:space="preserve">초안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원본 대비 수치 대조표</t>
    </r>
  </si>
  <si>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검토</t>
    </r>
    <r>
      <rPr>
        <sz val="9"/>
        <rFont val="맑은 고딕"/>
        <family val="0"/>
        <charset val="1"/>
      </rPr>
      <t xml:space="preserve">)</t>
    </r>
  </si>
  <si>
    <t xml:space="preserve">UC-08</t>
  </si>
  <si>
    <r>
      <rPr>
        <sz val="9"/>
        <rFont val="WenQuanYi Zen Hei"/>
        <family val="2"/>
      </rPr>
      <t xml:space="preserve">안전 순회점검 → 시정조치 요청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주간 안전보고</t>
    </r>
  </si>
  <si>
    <t xml:space="preserve">팀 — 안전</t>
  </si>
  <si>
    <r>
      <rPr>
        <sz val="9"/>
        <rFont val="WenQuanYi Zen Hei"/>
        <family val="2"/>
      </rPr>
      <t xml:space="preserve">순회점검 지적사항이 개인 수첩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카톡에 흩어져 있어 조치 완료 여부가 추적되지 않는다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미조치로 남은 항목이 원청 점검에서 재적발된 건이 분기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건 있었다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주간 안전보고 취합에 월 </t>
    </r>
    <r>
      <rPr>
        <sz val="9"/>
        <rFont val="맑은 고딕"/>
        <family val="0"/>
        <charset val="1"/>
      </rPr>
      <t xml:space="preserve">4H.</t>
    </r>
  </si>
  <si>
    <r>
      <rPr>
        <sz val="9"/>
        <rFont val="WenQuanYi Zen Hei"/>
        <family val="2"/>
      </rPr>
      <t xml:space="preserve">지적–조치–확인 이력 </t>
    </r>
    <r>
      <rPr>
        <sz val="9"/>
        <rFont val="맑은 고딕"/>
        <family val="0"/>
        <charset val="1"/>
      </rPr>
      <t xml:space="preserve">100% </t>
    </r>
    <r>
      <rPr>
        <sz val="9"/>
        <rFont val="WenQuanYi Zen Hei"/>
        <family val="2"/>
      </rPr>
      <t xml:space="preserve">추적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미조치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일 초과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</si>
  <si>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베이스라인 — 조치 추적률 산출 불가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기록 산재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원청 재적발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분기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목표 — 추적률 </t>
    </r>
    <r>
      <rPr>
        <sz val="9"/>
        <rFont val="맑은 고딕"/>
        <family val="0"/>
        <charset val="1"/>
      </rPr>
      <t xml:space="preserve">100%, </t>
    </r>
    <r>
      <rPr>
        <sz val="9"/>
        <rFont val="WenQuanYi Zen Hei"/>
        <family val="2"/>
      </rPr>
      <t xml:space="preserve">재적발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트래킹 시트의 지적 대비 조치완료 비율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매주 금요일 확인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</si>
  <si>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안전 리스크</t>
    </r>
    <r>
      <rPr>
        <sz val="9"/>
        <rFont val="맑은 고딕"/>
        <family val="0"/>
        <charset val="1"/>
      </rPr>
      <t xml:space="preserve">) × </t>
    </r>
    <r>
      <rPr>
        <sz val="9"/>
        <rFont val="WenQuanYi Zen Hei"/>
        <family val="2"/>
      </rPr>
      <t xml:space="preserve">난이도 중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</si>
  <si>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 점검 사진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메모 입력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수시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항목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위험등급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담당 분류 </t>
    </r>
    <r>
      <rPr>
        <sz val="9"/>
        <rFont val="맑은 고딕"/>
        <family val="0"/>
        <charset val="1"/>
      </rPr>
      <t xml:space="preserve">[Sonnet]
③ </t>
    </r>
    <r>
      <rPr>
        <sz val="9"/>
        <rFont val="WenQuanYi Zen Hei"/>
        <family val="2"/>
      </rPr>
      <t xml:space="preserve">시정조치 요청서 생성 </t>
    </r>
    <r>
      <rPr>
        <sz val="9"/>
        <rFont val="맑은 고딕"/>
        <family val="0"/>
        <charset val="1"/>
      </rPr>
      <t xml:space="preserve">[docx Skill]
④ </t>
    </r>
    <r>
      <rPr>
        <sz val="9"/>
        <rFont val="WenQuanYi Zen Hei"/>
        <family val="2"/>
      </rPr>
      <t xml:space="preserve">매주 금요일 스케줄로 미조치 건 자동 재알림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스케줄</t>
    </r>
    <r>
      <rPr>
        <sz val="9"/>
        <rFont val="맑은 고딕"/>
        <family val="0"/>
        <charset val="1"/>
      </rPr>
      <t xml:space="preserve">]
⑤ </t>
    </r>
    <r>
      <rPr>
        <sz val="9"/>
        <rFont val="WenQuanYi Zen Hei"/>
        <family val="2"/>
      </rPr>
      <t xml:space="preserve">주간 안전보고 요약 생성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
⑥ </t>
    </r>
    <r>
      <rPr>
        <sz val="9"/>
        <rFont val="WenQuanYi Zen Hei"/>
        <family val="2"/>
      </rPr>
      <t xml:space="preserve">외부 전송 시도 차단 </t>
    </r>
    <r>
      <rPr>
        <sz val="9"/>
        <rFont val="맑은 고딕"/>
        <family val="0"/>
        <charset val="1"/>
      </rPr>
      <t xml:space="preserve">Hook [</t>
    </r>
    <r>
      <rPr>
        <sz val="9"/>
        <rFont val="WenQuanYi Zen Hei"/>
        <family val="2"/>
      </rPr>
      <t xml:space="preserve">강제 검증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</si>
  <si>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Sonnet + docx Skill + </t>
    </r>
    <r>
      <rPr>
        <sz val="9"/>
        <rFont val="WenQuanYi Zen Hei"/>
        <family val="2"/>
      </rPr>
      <t xml:space="preserve">스케줄 작업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주간</t>
    </r>
    <r>
      <rPr>
        <sz val="9"/>
        <rFont val="맑은 고딕"/>
        <family val="0"/>
        <charset val="1"/>
      </rPr>
      <t xml:space="preserve">) + Hook(</t>
    </r>
    <r>
      <rPr>
        <sz val="9"/>
        <rFont val="WenQuanYi Zen Hei"/>
        <family val="2"/>
      </rPr>
      <t xml:space="preserve">외부 전송 차단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</si>
  <si>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신규 생성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개인 귀책 표현 금지 — 항목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공정 단위 기재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노무 리스크</t>
    </r>
    <r>
      <rPr>
        <sz val="9"/>
        <rFont val="맑은 고딕"/>
        <family val="0"/>
        <charset val="1"/>
      </rPr>
      <t xml:space="preserve">).
</t>
    </r>
    <r>
      <rPr>
        <sz val="9"/>
        <rFont val="WenQuanYi Zen Hei"/>
        <family val="2"/>
      </rPr>
      <t xml:space="preserve">원청 공유본은 센터장 승인 후에만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사진에 개인 식별정보 포함 시 마스킹 후 저장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</si>
  <si>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시정조치 요청서 </t>
    </r>
    <r>
      <rPr>
        <sz val="9"/>
        <rFont val="맑은 고딕"/>
        <family val="0"/>
        <charset val="1"/>
      </rPr>
      <t xml:space="preserve">.docx + </t>
    </r>
    <r>
      <rPr>
        <sz val="9"/>
        <rFont val="WenQuanYi Zen Hei"/>
        <family val="2"/>
      </rPr>
      <t xml:space="preserve">주간 안전 트래킹 시트 </t>
    </r>
    <r>
      <rPr>
        <sz val="9"/>
        <rFont val="맑은 고딕"/>
        <family val="0"/>
        <charset val="1"/>
      </rPr>
      <t xml:space="preserve">.xlsx</t>
    </r>
  </si>
  <si>
    <r>
      <rPr>
        <sz val="9"/>
        <rFont val="WenQuanYi Zen Hei"/>
        <family val="2"/>
      </rPr>
      <t xml:space="preserve">수시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매주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</si>
  <si>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안전 담당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운영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</t>
    </r>
  </si>
  <si>
    <t xml:space="preserve">UC-09</t>
  </si>
  <si>
    <r>
      <rPr>
        <sz val="9"/>
        <rFont val="WenQuanYi Zen Hei"/>
        <family val="2"/>
      </rPr>
      <t xml:space="preserve">단가 협상 근거자료 자동 산출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</si>
  <si>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전사 — 센터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본사 협상 라인</t>
    </r>
  </si>
  <si>
    <r>
      <rPr>
        <sz val="9"/>
        <rFont val="WenQuanYi Zen Hei"/>
        <family val="2"/>
      </rPr>
      <t xml:space="preserve">단가 협상 시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개월치 </t>
    </r>
    <r>
      <rPr>
        <sz val="9"/>
        <rFont val="맑은 고딕"/>
        <family val="0"/>
        <charset val="1"/>
      </rPr>
      <t xml:space="preserve">LOSS·</t>
    </r>
    <r>
      <rPr>
        <sz val="9"/>
        <rFont val="WenQuanYi Zen Hei"/>
        <family val="2"/>
      </rPr>
      <t xml:space="preserve">효율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인원 데이터를 다시 수집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재가공한다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회차당 </t>
    </r>
    <r>
      <rPr>
        <sz val="9"/>
        <rFont val="맑은 고딕"/>
        <family val="0"/>
        <charset val="1"/>
      </rPr>
      <t xml:space="preserve">40H. </t>
    </r>
    <r>
      <rPr>
        <sz val="9"/>
        <rFont val="WenQuanYi Zen Hei"/>
        <family val="2"/>
      </rPr>
      <t xml:space="preserve">근거 산출 로직이 담당자 개인의 판단에 남아 있어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담당자가 바뀌면 동일 결과를 재현하기 어렵다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</si>
  <si>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근거자료 작성 </t>
    </r>
    <r>
      <rPr>
        <sz val="9"/>
        <rFont val="맑은 고딕"/>
        <family val="0"/>
        <charset val="1"/>
      </rPr>
      <t xml:space="preserve">40H → 8H, </t>
    </r>
    <r>
      <rPr>
        <sz val="9"/>
        <rFont val="WenQuanYi Zen Hei"/>
        <family val="2"/>
      </rPr>
      <t xml:space="preserve">산출 로직 문서화로 동일 입력 시 결과 재현성 </t>
    </r>
    <r>
      <rPr>
        <sz val="9"/>
        <rFont val="맑은 고딕"/>
        <family val="0"/>
        <charset val="1"/>
      </rPr>
      <t xml:space="preserve">100%.</t>
    </r>
  </si>
  <si>
    <r>
      <rPr>
        <sz val="9"/>
        <rFont val="WenQuanYi Zen Hei"/>
        <family val="2"/>
      </rPr>
      <t xml:space="preserve">베이스라인 — </t>
    </r>
    <r>
      <rPr>
        <sz val="9"/>
        <rFont val="맑은 고딕"/>
        <family val="0"/>
        <charset val="1"/>
      </rPr>
      <t xml:space="preserve">40H/</t>
    </r>
    <r>
      <rPr>
        <sz val="9"/>
        <rFont val="WenQuanYi Zen Hei"/>
        <family val="2"/>
      </rPr>
      <t xml:space="preserve">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재현성 검증 불가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목표 — </t>
    </r>
    <r>
      <rPr>
        <sz val="9"/>
        <rFont val="맑은 고딕"/>
        <family val="0"/>
        <charset val="1"/>
      </rPr>
      <t xml:space="preserve">8H/</t>
    </r>
    <r>
      <rPr>
        <sz val="9"/>
        <rFont val="WenQuanYi Zen Hei"/>
        <family val="2"/>
      </rPr>
      <t xml:space="preserve">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동일 입력 재실행 시 결과 일치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측정 — 협상 종료 후 동일 입력 재실행 결과 대조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회차당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</si>
  <si>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순위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임팩트 상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난이도 상 —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개월 데이터 정합성 확보 필요</t>
    </r>
    <r>
      <rPr>
        <sz val="9"/>
        <rFont val="맑은 고딕"/>
        <family val="0"/>
        <charset val="1"/>
      </rPr>
      <t xml:space="preserve">, UC-02 </t>
    </r>
    <r>
      <rPr>
        <sz val="9"/>
        <rFont val="WenQuanYi Zen Hei"/>
        <family val="2"/>
      </rPr>
      <t xml:space="preserve">운영 안정화 후 착수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</si>
  <si>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① 12</t>
    </r>
    <r>
      <rPr>
        <sz val="9"/>
        <rFont val="WenQuanYi Zen Hei"/>
        <family val="2"/>
      </rPr>
      <t xml:space="preserve">개월 </t>
    </r>
    <r>
      <rPr>
        <sz val="9"/>
        <rFont val="맑은 고딕"/>
        <family val="0"/>
        <charset val="1"/>
      </rPr>
      <t xml:space="preserve">LOSS·</t>
    </r>
    <r>
      <rPr>
        <sz val="9"/>
        <rFont val="WenQuanYi Zen Hei"/>
        <family val="2"/>
      </rPr>
      <t xml:space="preserve">마감 데이터 입력 </t>
    </r>
    <r>
      <rPr>
        <sz val="9"/>
        <rFont val="맑은 고딕"/>
        <family val="0"/>
        <charset val="1"/>
      </rPr>
      <t xml:space="preserve">+ /</t>
    </r>
    <r>
      <rPr>
        <sz val="9"/>
        <rFont val="WenQuanYi Zen Hei"/>
        <family val="2"/>
      </rPr>
      <t xml:space="preserve">협상근거 트리거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]
② </t>
    </r>
    <r>
      <rPr>
        <sz val="9"/>
        <rFont val="WenQuanYi Zen Hei"/>
        <family val="2"/>
      </rPr>
      <t xml:space="preserve">귀책별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비용 집계 </t>
    </r>
    <r>
      <rPr>
        <sz val="9"/>
        <rFont val="맑은 고딕"/>
        <family val="0"/>
        <charset val="1"/>
      </rPr>
      <t xml:space="preserve">[LOSS </t>
    </r>
    <r>
      <rPr>
        <sz val="9"/>
        <rFont val="WenQuanYi Zen Hei"/>
        <family val="2"/>
      </rPr>
      <t xml:space="preserve">분류 </t>
    </r>
    <r>
      <rPr>
        <sz val="9"/>
        <rFont val="맑은 고딕"/>
        <family val="0"/>
        <charset val="1"/>
      </rPr>
      <t xml:space="preserve">Skill </t>
    </r>
    <r>
      <rPr>
        <sz val="9"/>
        <rFont val="WenQuanYi Zen Hei"/>
        <family val="2"/>
      </rPr>
      <t xml:space="preserve">재사용</t>
    </r>
    <r>
      <rPr>
        <sz val="9"/>
        <rFont val="맑은 고딕"/>
        <family val="0"/>
        <charset val="1"/>
      </rPr>
      <t xml:space="preserve">]
③ </t>
    </r>
    <r>
      <rPr>
        <sz val="9"/>
        <rFont val="WenQuanYi Zen Hei"/>
        <family val="2"/>
      </rPr>
      <t xml:space="preserve">효율 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환산 별도 산출 </t>
    </r>
    <r>
      <rPr>
        <sz val="9"/>
        <rFont val="맑은 고딕"/>
        <family val="0"/>
        <charset val="1"/>
      </rPr>
      <t xml:space="preserve">[xlsx Skill]
④ </t>
    </r>
    <r>
      <rPr>
        <sz val="9"/>
        <rFont val="WenQuanYi Zen Hei"/>
        <family val="2"/>
      </rPr>
      <t xml:space="preserve">두 축</t>
    </r>
    <r>
      <rPr>
        <sz val="9"/>
        <rFont val="맑은 고딕"/>
        <family val="0"/>
        <charset val="1"/>
      </rPr>
      <t xml:space="preserve">(LOSS </t>
    </r>
    <r>
      <rPr>
        <sz val="9"/>
        <rFont val="WenQuanYi Zen Hei"/>
        <family val="2"/>
      </rPr>
      <t xml:space="preserve">비용 </t>
    </r>
    <r>
      <rPr>
        <sz val="9"/>
        <rFont val="맑은 고딕"/>
        <family val="0"/>
        <charset val="1"/>
      </rPr>
      <t xml:space="preserve">vs </t>
    </r>
    <r>
      <rPr>
        <sz val="9"/>
        <rFont val="WenQuanYi Zen Hei"/>
        <family val="2"/>
      </rPr>
      <t xml:space="preserve">효율</t>
    </r>
    <r>
      <rPr>
        <sz val="9"/>
        <rFont val="맑은 고딕"/>
        <family val="0"/>
        <charset val="1"/>
      </rPr>
      <t xml:space="preserve">GAP)</t>
    </r>
    <r>
      <rPr>
        <sz val="9"/>
        <rFont val="WenQuanYi Zen Hei"/>
        <family val="2"/>
      </rPr>
      <t xml:space="preserve">의 차이 설명 문구 생성 </t>
    </r>
    <r>
      <rPr>
        <sz val="9"/>
        <rFont val="맑은 고딕"/>
        <family val="0"/>
        <charset val="1"/>
      </rPr>
      <t xml:space="preserve">[Opus]
⑤ </t>
    </r>
    <r>
      <rPr>
        <sz val="9"/>
        <rFont val="WenQuanYi Zen Hei"/>
        <family val="2"/>
      </rPr>
      <t xml:space="preserve">산출 로직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가정 명시된 근거 시트 저장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자동</t>
    </r>
    <r>
      <rPr>
        <sz val="9"/>
        <rFont val="맑은 고딕"/>
        <family val="0"/>
        <charset val="1"/>
      </rPr>
      <t xml:space="preserve">]
⑥ </t>
    </r>
    <r>
      <rPr>
        <sz val="9"/>
        <rFont val="WenQuanYi Zen Hei"/>
        <family val="2"/>
      </rPr>
      <t xml:space="preserve">협상 제출 전 센터장 전수 검토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필수 정지 지점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</si>
  <si>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Claude Opus(</t>
    </r>
    <r>
      <rPr>
        <sz val="9"/>
        <rFont val="WenQuanYi Zen Hei"/>
        <family val="2"/>
      </rPr>
      <t xml:space="preserve">논리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설명</t>
    </r>
    <r>
      <rPr>
        <sz val="9"/>
        <rFont val="맑은 고딕"/>
        <family val="0"/>
        <charset val="1"/>
      </rPr>
      <t xml:space="preserve">) + xlsx Skill + LOSS </t>
    </r>
    <r>
      <rPr>
        <sz val="9"/>
        <rFont val="WenQuanYi Zen Hei"/>
        <family val="2"/>
      </rPr>
      <t xml:space="preserve">귀책분류 </t>
    </r>
    <r>
      <rPr>
        <sz val="9"/>
        <rFont val="맑은 고딕"/>
        <family val="0"/>
        <charset val="1"/>
      </rPr>
      <t xml:space="preserve">Skill </t>
    </r>
    <r>
      <rPr>
        <sz val="9"/>
        <rFont val="WenQuanYi Zen Hei"/>
        <family val="2"/>
      </rPr>
      <t xml:space="preserve">재사용</t>
    </r>
  </si>
  <si>
    <r>
      <rPr>
        <sz val="9"/>
        <rFont val="WenQuanYi Zen Hei"/>
        <family val="2"/>
      </rPr>
      <t xml:space="preserve">읽기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파일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협상 산출 로직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카테고리 정의서는 통제 대상 내부 자산 — 외부 전송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클라이언트 공유 금지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결과 수치만 제시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최종본 센터장 검토 없이 사용 금지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</si>
  <si>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협상 근거 </t>
    </r>
    <r>
      <rPr>
        <sz val="9"/>
        <rFont val="맑은 고딕"/>
        <family val="0"/>
        <charset val="1"/>
      </rPr>
      <t xml:space="preserve">.xlsx (</t>
    </r>
    <r>
      <rPr>
        <sz val="9"/>
        <rFont val="WenQuanYi Zen Hei"/>
        <family val="2"/>
      </rPr>
      <t xml:space="preserve">귀책별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비용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효율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환산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가정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산출로직 명시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</si>
  <si>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연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협상 시즌</t>
    </r>
    <r>
      <rPr>
        <sz val="9"/>
        <rFont val="맑은 고딕"/>
        <family val="0"/>
        <charset val="1"/>
      </rPr>
      <t xml:space="preserve">) + </t>
    </r>
    <r>
      <rPr>
        <sz val="9"/>
        <rFont val="WenQuanYi Zen Hei"/>
        <family val="2"/>
      </rPr>
      <t xml:space="preserve">분기 중간 점검</t>
    </r>
  </si>
  <si>
    <r>
      <rPr>
        <sz val="9"/>
        <rFont val="WenQuanYi Zen Hei"/>
        <family val="2"/>
      </rPr>
      <t xml:space="preserve">센터장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오너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</si>
  <si>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15"/>
        <color rgb="FF1F3864"/>
        <rFont val="WenQuanYi Zen Hei"/>
        <family val="2"/>
      </rPr>
      <t xml:space="preserve">우선순위 산정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WenQuanYi Zen Hei"/>
        <family val="2"/>
      </rPr>
      <t xml:space="preserve">임팩트 </t>
    </r>
    <r>
      <rPr>
        <b val="true"/>
        <sz val="15"/>
        <color rgb="FF1F3864"/>
        <rFont val="맑은 고딕"/>
        <family val="0"/>
        <charset val="1"/>
      </rPr>
      <t xml:space="preserve">× </t>
    </r>
    <r>
      <rPr>
        <b val="true"/>
        <sz val="15"/>
        <color rgb="FF1F3864"/>
        <rFont val="WenQuanYi Zen Hei"/>
        <family val="2"/>
      </rPr>
      <t xml:space="preserve">난이도</t>
    </r>
    <r>
      <rPr>
        <b val="true"/>
        <sz val="15"/>
        <color rgb="FF1F3864"/>
        <rFont val="맑은 고딕"/>
        <family val="0"/>
        <charset val="1"/>
      </rPr>
      <t xml:space="preserve">) </t>
    </r>
    <r>
      <rPr>
        <b val="true"/>
        <sz val="15"/>
        <color rgb="FF1F3864"/>
        <rFont val="WenQuanYi Zen Hei"/>
        <family val="2"/>
      </rPr>
      <t xml:space="preserve">및 절감공수</t>
    </r>
    <r>
      <rPr>
        <b val="true"/>
        <sz val="15"/>
        <color rgb="FF1F3864"/>
        <rFont val="맑은 고딕"/>
        <family val="0"/>
        <charset val="1"/>
      </rPr>
      <t xml:space="preserve">·</t>
    </r>
    <r>
      <rPr>
        <b val="true"/>
        <sz val="15"/>
        <color rgb="FF1F3864"/>
        <rFont val="WenQuanYi Zen Hei"/>
        <family val="2"/>
      </rPr>
      <t xml:space="preserve">비용 환산</t>
    </r>
  </si>
  <si>
    <r>
      <rPr>
        <sz val="9"/>
        <color rgb="FF595959"/>
        <rFont val="WenQuanYi Zen Hei"/>
        <family val="2"/>
      </rPr>
      <t xml:space="preserve">점수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임팩트 </t>
    </r>
    <r>
      <rPr>
        <sz val="9"/>
        <color rgb="FF595959"/>
        <rFont val="맑은 고딕"/>
        <family val="0"/>
        <charset val="1"/>
      </rPr>
      <t xml:space="preserve">× (6 − </t>
    </r>
    <r>
      <rPr>
        <sz val="9"/>
        <color rgb="FF595959"/>
        <rFont val="WenQuanYi Zen Hei"/>
        <family val="2"/>
      </rPr>
      <t xml:space="preserve">난이도</t>
    </r>
    <r>
      <rPr>
        <sz val="9"/>
        <color rgb="FF595959"/>
        <rFont val="맑은 고딕"/>
        <family val="0"/>
        <charset val="1"/>
      </rPr>
      <t xml:space="preserve">).  </t>
    </r>
    <r>
      <rPr>
        <sz val="9"/>
        <color rgb="FF595959"/>
        <rFont val="WenQuanYi Zen Hei"/>
        <family val="2"/>
      </rPr>
      <t xml:space="preserve">임팩트 높고 난이도 낮은 것부터 착수 — 교재 </t>
    </r>
    <r>
      <rPr>
        <sz val="9"/>
        <color rgb="FF595959"/>
        <rFont val="맑은 고딕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장 우선순위 기준</t>
    </r>
  </si>
  <si>
    <t xml:space="preserve">Use Case</t>
  </si>
  <si>
    <r>
      <rPr>
        <b val="true"/>
        <sz val="10"/>
        <color rgb="FFFFFFFF"/>
        <rFont val="WenQuanYi Zen Hei"/>
        <family val="2"/>
      </rPr>
      <t xml:space="preserve">임팩트
</t>
    </r>
    <r>
      <rPr>
        <b val="true"/>
        <sz val="10"/>
        <color rgb="FFFFFFFF"/>
        <rFont val="맑은 고딕"/>
        <family val="0"/>
        <charset val="1"/>
      </rPr>
      <t xml:space="preserve">(1~5)</t>
    </r>
  </si>
  <si>
    <r>
      <rPr>
        <b val="true"/>
        <sz val="10"/>
        <color rgb="FFFFFFFF"/>
        <rFont val="WenQuanYi Zen Hei"/>
        <family val="2"/>
      </rPr>
      <t xml:space="preserve">난이도
</t>
    </r>
    <r>
      <rPr>
        <b val="true"/>
        <sz val="10"/>
        <color rgb="FFFFFFFF"/>
        <rFont val="맑은 고딕"/>
        <family val="0"/>
        <charset val="1"/>
      </rPr>
      <t xml:space="preserve">(1~5)</t>
    </r>
  </si>
  <si>
    <t xml:space="preserve">우선순위
점수</t>
  </si>
  <si>
    <t xml:space="preserve">등급</t>
  </si>
  <si>
    <r>
      <rPr>
        <b val="true"/>
        <sz val="10"/>
        <color rgb="FFFFFFFF"/>
        <rFont val="WenQuanYi Zen Hei"/>
        <family val="2"/>
      </rPr>
      <t xml:space="preserve">착수
</t>
    </r>
    <r>
      <rPr>
        <b val="true"/>
        <sz val="10"/>
        <color rgb="FFFFFFFF"/>
        <rFont val="맑은 고딕"/>
        <family val="0"/>
        <charset val="1"/>
      </rPr>
      <t xml:space="preserve">Wave</t>
    </r>
  </si>
  <si>
    <r>
      <rPr>
        <b val="true"/>
        <sz val="10"/>
        <color rgb="FFFFFFFF"/>
        <rFont val="WenQuanYi Zen Hei"/>
        <family val="2"/>
      </rPr>
      <t xml:space="preserve">베이스라인
</t>
    </r>
    <r>
      <rPr>
        <b val="true"/>
        <sz val="10"/>
        <color rgb="FFFFFFFF"/>
        <rFont val="맑은 고딕"/>
        <family val="0"/>
        <charset val="1"/>
      </rPr>
      <t xml:space="preserve">(H/</t>
    </r>
    <r>
      <rPr>
        <b val="true"/>
        <sz val="10"/>
        <color rgb="FFFFFFFF"/>
        <rFont val="WenQuanYi Zen Hei"/>
        <family val="2"/>
      </rPr>
      <t xml:space="preserve">회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</si>
  <si>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목표
</t>
    </r>
    <r>
      <rPr>
        <b val="true"/>
        <sz val="10"/>
        <color rgb="FFFFFFFF"/>
        <rFont val="맑은 고딕"/>
        <family val="0"/>
        <charset val="1"/>
      </rPr>
      <t xml:space="preserve">(H/</t>
    </r>
    <r>
      <rPr>
        <b val="true"/>
        <sz val="10"/>
        <color rgb="FFFFFFFF"/>
        <rFont val="WenQuanYi Zen Hei"/>
        <family val="2"/>
      </rPr>
      <t xml:space="preserve">회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</si>
  <si>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연간
실행횟수</t>
  </si>
  <si>
    <r>
      <rPr>
        <b val="true"/>
        <sz val="10"/>
        <color rgb="FFFFFFFF"/>
        <rFont val="WenQuanYi Zen Hei"/>
        <family val="2"/>
      </rPr>
      <t xml:space="preserve">연간 절감공수
</t>
    </r>
    <r>
      <rPr>
        <b val="true"/>
        <sz val="10"/>
        <color rgb="FFFFFFFF"/>
        <rFont val="맑은 고딕"/>
        <family val="0"/>
        <charset val="1"/>
      </rPr>
      <t xml:space="preserve">(M·H)</t>
    </r>
  </si>
  <si>
    <r>
      <rPr>
        <b val="true"/>
        <sz val="10"/>
        <color rgb="FFFFFFFF"/>
        <rFont val="WenQuanYi Zen Hei"/>
        <family val="2"/>
      </rPr>
      <t xml:space="preserve">연간 환산금액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</si>
  <si>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월 마감 정산자료 자동 집계</t>
  </si>
  <si>
    <t xml:space="preserve">Wave 2</t>
  </si>
  <si>
    <r>
      <rPr>
        <sz val="10"/>
        <rFont val="맑은 고딕"/>
        <family val="0"/>
        <charset val="1"/>
      </rPr>
      <t xml:space="preserve">MES LOSS </t>
    </r>
    <r>
      <rPr>
        <sz val="10"/>
        <rFont val="WenQuanYi Zen Hei"/>
        <family val="2"/>
      </rPr>
      <t xml:space="preserve">귀책 분류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월간 리포트</t>
    </r>
  </si>
  <si>
    <r>
      <rPr>
        <sz val="10"/>
        <rFont val="WenQuanYi Zen Hei"/>
        <family val="2"/>
      </rPr>
      <t xml:space="preserve">지연오더 추출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월별 취합</t>
    </r>
  </si>
  <si>
    <t xml:space="preserve">Wave 1</t>
  </si>
  <si>
    <r>
      <rPr>
        <sz val="10"/>
        <rFont val="WenQuanYi Zen Hei"/>
        <family val="2"/>
      </rPr>
      <t xml:space="preserve">점검 지적 → </t>
    </r>
    <r>
      <rPr>
        <sz val="10"/>
        <rFont val="맑은 고딕"/>
        <family val="0"/>
        <charset val="1"/>
      </rPr>
      <t xml:space="preserve">OPL </t>
    </r>
    <r>
      <rPr>
        <sz val="10"/>
        <rFont val="WenQuanYi Zen Hei"/>
        <family val="2"/>
      </rPr>
      <t xml:space="preserve">교육자료 생성</t>
    </r>
  </si>
  <si>
    <r>
      <rPr>
        <sz val="10"/>
        <rFont val="WenQuanYi Zen Hei"/>
        <family val="2"/>
      </rPr>
      <t xml:space="preserve">일일 근태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결원 집계 리포트</t>
    </r>
  </si>
  <si>
    <t xml:space="preserve">Wave 3</t>
  </si>
  <si>
    <t xml:space="preserve">입고확인 파렛 분석</t>
  </si>
  <si>
    <r>
      <rPr>
        <sz val="10"/>
        <rFont val="WenQuanYi Zen Hei"/>
        <family val="2"/>
      </rPr>
      <t xml:space="preserve">월간 운영보고 </t>
    </r>
    <r>
      <rPr>
        <sz val="10"/>
        <rFont val="맑은 고딕"/>
        <family val="0"/>
        <charset val="1"/>
      </rPr>
      <t xml:space="preserve">PPT </t>
    </r>
    <r>
      <rPr>
        <sz val="10"/>
        <rFont val="WenQuanYi Zen Hei"/>
        <family val="2"/>
      </rPr>
      <t xml:space="preserve">초안</t>
    </r>
  </si>
  <si>
    <r>
      <rPr>
        <sz val="10"/>
        <rFont val="WenQuanYi Zen Hei"/>
        <family val="2"/>
      </rPr>
      <t xml:space="preserve">안전 순회점검 → 시정조치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주간보고</t>
    </r>
  </si>
  <si>
    <t xml:space="preserve">단가 협상 근거자료 산출</t>
  </si>
  <si>
    <t xml:space="preserve">Wave 4</t>
  </si>
  <si>
    <t xml:space="preserve">합계</t>
  </si>
  <si>
    <r>
      <rPr>
        <sz val="9"/>
        <color rgb="FF404040"/>
        <rFont val="WenQuanYi Zen Hei"/>
        <family val="2"/>
      </rPr>
      <t xml:space="preserve">■ 점수 산정식 — 우선순위 점수 </t>
    </r>
    <r>
      <rPr>
        <sz val="9"/>
        <color rgb="FF404040"/>
        <rFont val="맑은 고딕"/>
        <family val="0"/>
        <charset val="1"/>
      </rPr>
      <t xml:space="preserve">= </t>
    </r>
    <r>
      <rPr>
        <sz val="9"/>
        <color rgb="FF404040"/>
        <rFont val="WenQuanYi Zen Hei"/>
        <family val="2"/>
      </rPr>
      <t xml:space="preserve">임팩트 </t>
    </r>
    <r>
      <rPr>
        <sz val="9"/>
        <color rgb="FF404040"/>
        <rFont val="맑은 고딕"/>
        <family val="0"/>
        <charset val="1"/>
      </rPr>
      <t xml:space="preserve">× (6 − </t>
    </r>
    <r>
      <rPr>
        <sz val="9"/>
        <color rgb="FF404040"/>
        <rFont val="WenQuanYi Zen Hei"/>
        <family val="2"/>
      </rPr>
      <t xml:space="preserve">난이도</t>
    </r>
    <r>
      <rPr>
        <sz val="9"/>
        <color rgb="FF404040"/>
        <rFont val="맑은 고딕"/>
        <family val="0"/>
        <charset val="1"/>
      </rPr>
      <t xml:space="preserve">). </t>
    </r>
    <r>
      <rPr>
        <sz val="9"/>
        <color rgb="FF404040"/>
        <rFont val="WenQuanYi Zen Hei"/>
        <family val="2"/>
      </rPr>
      <t xml:space="preserve">임팩트가 크고 난이도가 낮을수록 높은 점수</t>
    </r>
    <r>
      <rPr>
        <sz val="9"/>
        <color rgb="FF404040"/>
        <rFont val="맑은 고딕"/>
        <family val="0"/>
        <charset val="1"/>
      </rPr>
      <t xml:space="preserve">. 15</t>
    </r>
    <r>
      <rPr>
        <sz val="9"/>
        <color rgb="FF404040"/>
        <rFont val="WenQuanYi Zen Hei"/>
        <family val="2"/>
      </rPr>
      <t xml:space="preserve">점 이상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순위 </t>
    </r>
    <r>
      <rPr>
        <sz val="9"/>
        <color rgb="FF404040"/>
        <rFont val="맑은 고딕"/>
        <family val="0"/>
        <charset val="1"/>
      </rPr>
      <t xml:space="preserve">/ 10~14</t>
    </r>
    <r>
      <rPr>
        <sz val="9"/>
        <color rgb="FF404040"/>
        <rFont val="WenQuanYi Zen Hei"/>
        <family val="2"/>
      </rPr>
      <t xml:space="preserve">점 </t>
    </r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순위 </t>
    </r>
    <r>
      <rPr>
        <sz val="9"/>
        <color rgb="FF404040"/>
        <rFont val="맑은 고딕"/>
        <family val="0"/>
        <charset val="1"/>
      </rPr>
      <t xml:space="preserve">/ 9</t>
    </r>
    <r>
      <rPr>
        <sz val="9"/>
        <color rgb="FF404040"/>
        <rFont val="WenQuanYi Zen Hei"/>
        <family val="2"/>
      </rPr>
      <t xml:space="preserve">점 이하 </t>
    </r>
    <r>
      <rPr>
        <sz val="9"/>
        <color rgb="FF404040"/>
        <rFont val="맑은 고딕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순위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</si>
  <si>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착수 </t>
    </r>
    <r>
      <rPr>
        <sz val="9"/>
        <color rgb="FF404040"/>
        <rFont val="맑은 고딕"/>
        <family val="0"/>
        <charset val="1"/>
      </rPr>
      <t xml:space="preserve">Wave — Wave 1: </t>
    </r>
    <r>
      <rPr>
        <sz val="9"/>
        <color rgb="FF404040"/>
        <rFont val="WenQuanYi Zen Hei"/>
        <family val="2"/>
      </rPr>
      <t xml:space="preserve">보유 </t>
    </r>
    <r>
      <rPr>
        <sz val="9"/>
        <color rgb="FF404040"/>
        <rFont val="맑은 고딕"/>
        <family val="0"/>
        <charset val="1"/>
      </rPr>
      <t xml:space="preserve">Skill </t>
    </r>
    <r>
      <rPr>
        <sz val="9"/>
        <color rgb="FF404040"/>
        <rFont val="WenQuanYi Zen Hei"/>
        <family val="2"/>
      </rPr>
      <t xml:space="preserve">재사용으로 </t>
    </r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주 내 적용</t>
    </r>
    <r>
      <rPr>
        <sz val="9"/>
        <color rgb="FF404040"/>
        <rFont val="맑은 고딕"/>
        <family val="0"/>
        <charset val="1"/>
      </rPr>
      <t xml:space="preserve">(UC-03·04). Wave 2: </t>
    </r>
    <r>
      <rPr>
        <sz val="9"/>
        <color rgb="FF404040"/>
        <rFont val="WenQuanYi Zen Hei"/>
        <family val="2"/>
      </rPr>
      <t xml:space="preserve">실질 임팩트 핵심</t>
    </r>
    <r>
      <rPr>
        <sz val="9"/>
        <color rgb="FF404040"/>
        <rFont val="맑은 고딕"/>
        <family val="0"/>
        <charset val="1"/>
      </rPr>
      <t xml:space="preserve">, 1~2</t>
    </r>
    <r>
      <rPr>
        <sz val="9"/>
        <color rgb="FF404040"/>
        <rFont val="WenQuanYi Zen Hei"/>
        <family val="2"/>
      </rPr>
      <t xml:space="preserve">개월</t>
    </r>
    <r>
      <rPr>
        <sz val="9"/>
        <color rgb="FF404040"/>
        <rFont val="맑은 고딕"/>
        <family val="0"/>
        <charset val="1"/>
      </rPr>
      <t xml:space="preserve">(UC-01·02). Wave 3: </t>
    </r>
    <r>
      <rPr>
        <sz val="9"/>
        <color rgb="FF404040"/>
        <rFont val="WenQuanYi Zen Hei"/>
        <family val="2"/>
      </rPr>
      <t xml:space="preserve">입력 채널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선행 산출물 필요</t>
    </r>
    <r>
      <rPr>
        <sz val="9"/>
        <color rgb="FF404040"/>
        <rFont val="맑은 고딕"/>
        <family val="0"/>
        <charset val="1"/>
      </rPr>
      <t xml:space="preserve">(UC-05·06·07·08). Wave 4: </t>
    </r>
    <r>
      <rPr>
        <sz val="9"/>
        <color rgb="FF404040"/>
        <rFont val="WenQuanYi Zen Hei"/>
        <family val="2"/>
      </rPr>
      <t xml:space="preserve">선행 과제 안정화 후</t>
    </r>
    <r>
      <rPr>
        <sz val="9"/>
        <color rgb="FF404040"/>
        <rFont val="맑은 고딕"/>
        <family val="0"/>
        <charset val="1"/>
      </rPr>
      <t xml:space="preserve">(UC-09).</t>
    </r>
  </si>
  <si>
    <r>
      <rPr>
        <sz val="9"/>
        <color rgb="FF404040"/>
        <rFont val="WenQuanYi Zen Hei"/>
        <family val="2"/>
      </rPr>
      <t xml:space="preserve">■ 금액 환산 — 절감공수 </t>
    </r>
    <r>
      <rPr>
        <sz val="9"/>
        <color rgb="FF404040"/>
        <rFont val="맑은 고딕"/>
        <family val="0"/>
        <charset val="1"/>
      </rPr>
      <t xml:space="preserve">× </t>
    </r>
    <r>
      <rPr>
        <sz val="9"/>
        <color rgb="FF404040"/>
        <rFont val="WenQuanYi Zen Hei"/>
        <family val="2"/>
      </rPr>
      <t xml:space="preserve">임률</t>
    </r>
    <r>
      <rPr>
        <sz val="9"/>
        <color rgb="FF404040"/>
        <rFont val="맑은 고딕"/>
        <family val="0"/>
        <charset val="1"/>
      </rPr>
      <t xml:space="preserve">(05 </t>
    </r>
    <r>
      <rPr>
        <sz val="9"/>
        <color rgb="FF404040"/>
        <rFont val="WenQuanYi Zen Hei"/>
        <family val="2"/>
      </rPr>
      <t xml:space="preserve">시트 </t>
    </r>
    <r>
      <rPr>
        <sz val="9"/>
        <color rgb="FF404040"/>
        <rFont val="맑은 고딕"/>
        <family val="0"/>
        <charset val="1"/>
      </rPr>
      <t xml:space="preserve">B5). </t>
    </r>
    <r>
      <rPr>
        <sz val="9"/>
        <color rgb="FF404040"/>
        <rFont val="WenQuanYi Zen Hei"/>
        <family val="2"/>
      </rPr>
      <t xml:space="preserve">관리직 공수를 도급 임률로 준용한 보수적 추정치다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</si>
  <si>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해석 주의 — 이 금액은 인건비가 즉시 절감되는 금액이 아니라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확보한 관리공수를 </t>
    </r>
    <r>
      <rPr>
        <sz val="9"/>
        <color rgb="FF404040"/>
        <rFont val="맑은 고딕"/>
        <family val="0"/>
        <charset val="1"/>
      </rPr>
      <t xml:space="preserve">LOSS </t>
    </r>
    <r>
      <rPr>
        <sz val="9"/>
        <color rgb="FF404040"/>
        <rFont val="WenQuanYi Zen Hei"/>
        <family val="2"/>
      </rPr>
      <t xml:space="preserve">분석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현장 관리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협상 준비로 재배치할 수 있는 가치다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임원 보고 시 이 전제를 반드시 함께 제시할 것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</si>
  <si>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베이스라인 — 최근 </t>
    </r>
    <r>
      <rPr>
        <sz val="9"/>
        <color rgb="FF404040"/>
        <rFont val="맑은 고딕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개월 담당자 실측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추정 기준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정식 착수 전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주간 실측으로 재확정 필요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노란색 셀 갱신</t>
    </r>
    <r>
      <rPr>
        <sz val="9"/>
        <color rgb="FF404040"/>
        <rFont val="맑은 고딕"/>
        <family val="0"/>
        <charset val="1"/>
      </rPr>
      <t xml:space="preserve">).</t>
    </r>
  </si>
  <si>
    <r>
      <rPr>
        <b val="true"/>
        <sz val="15"/>
        <color rgb="FF1F3864"/>
        <rFont val="WenQuanYi Zen Hei"/>
        <family val="2"/>
      </rPr>
      <t xml:space="preserve">상위 과제 파이프라인 </t>
    </r>
    <r>
      <rPr>
        <b val="true"/>
        <sz val="15"/>
        <color rgb="FF1F3864"/>
        <rFont val="맑은 고딕"/>
        <family val="0"/>
        <charset val="1"/>
      </rPr>
      <t xml:space="preserve">4</t>
    </r>
    <r>
      <rPr>
        <b val="true"/>
        <sz val="15"/>
        <color rgb="FF1F3864"/>
        <rFont val="WenQuanYi Zen Hei"/>
        <family val="2"/>
      </rPr>
      <t xml:space="preserve">단계 상세설계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WenQuanYi Zen Hei"/>
        <family val="2"/>
      </rPr>
      <t xml:space="preserve">트리거 – 계획 – 실행 – 검증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</si>
  <si>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교재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장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파이프라인의 </t>
    </r>
    <r>
      <rPr>
        <sz val="9"/>
        <color rgb="FF595959"/>
        <rFont val="맑은 고딕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단계 구조</t>
    </r>
    <r>
      <rPr>
        <sz val="9"/>
        <color rgb="FF595959"/>
        <rFont val="맑은 고딕"/>
        <family val="0"/>
        <charset val="1"/>
      </rPr>
      <t xml:space="preserve">' + 3</t>
    </r>
    <r>
      <rPr>
        <sz val="9"/>
        <color rgb="FF595959"/>
        <rFont val="WenQuanYi Zen Hei"/>
        <family val="2"/>
      </rPr>
      <t xml:space="preserve">장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안전장치는 사람이 요구한다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· Wave 2 </t>
    </r>
    <r>
      <rPr>
        <sz val="9"/>
        <color rgb="FF595959"/>
        <rFont val="WenQuanYi Zen Hei"/>
        <family val="2"/>
      </rPr>
      <t xml:space="preserve">착수 대상 </t>
    </r>
    <r>
      <rPr>
        <sz val="9"/>
        <color rgb="FF595959"/>
        <rFont val="맑은 고딕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건</t>
    </r>
  </si>
  <si>
    <r>
      <rPr>
        <b val="true"/>
        <sz val="12"/>
        <color rgb="FFFFFFFF"/>
        <rFont val="맑은 고딕"/>
        <family val="0"/>
        <charset val="1"/>
      </rPr>
      <t xml:space="preserve">① UC-01  </t>
    </r>
    <r>
      <rPr>
        <b val="true"/>
        <sz val="12"/>
        <color rgb="FFFFFFFF"/>
        <rFont val="WenQuanYi Zen Hei"/>
        <family val="2"/>
      </rPr>
      <t xml:space="preserve">월 마감 정산자료 자동 집계 파이프라인</t>
    </r>
  </si>
  <si>
    <t xml:space="preserve">단계</t>
  </si>
  <si>
    <t xml:space="preserve">무엇을 하는가</t>
  </si>
  <si>
    <t xml:space="preserve">수행 주체</t>
  </si>
  <si>
    <t xml:space="preserve">사용 도구</t>
  </si>
  <si>
    <r>
      <rPr>
        <b val="true"/>
        <sz val="10"/>
        <color rgb="FFFFFFFF"/>
        <rFont val="WenQuanYi Zen Hei"/>
        <family val="2"/>
      </rPr>
      <t xml:space="preserve">산출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전달물</t>
    </r>
  </si>
  <si>
    <r>
      <rPr>
        <b val="true"/>
        <sz val="10"/>
        <color rgb="FFFFFFFF"/>
        <rFont val="WenQuanYi Zen Hei"/>
        <family val="2"/>
      </rPr>
      <t xml:space="preserve">정지</t>
    </r>
    <r>
      <rPr>
        <b val="true"/>
        <sz val="10"/>
        <color rgb="FFFFFFFF"/>
        <rFont val="맑은 고딕"/>
        <family val="0"/>
        <charset val="1"/>
      </rPr>
      <t xml:space="preserve">(Stop) </t>
    </r>
    <r>
      <rPr>
        <b val="true"/>
        <sz val="10"/>
        <color rgb="FFFFFFFF"/>
        <rFont val="WenQuanYi Zen Hei"/>
        <family val="2"/>
      </rPr>
      <t xml:space="preserve">조건</t>
    </r>
  </si>
  <si>
    <t xml:space="preserve">트리거</t>
  </si>
  <si>
    <r>
      <rPr>
        <sz val="9"/>
        <rFont val="WenQuanYi Zen Hei"/>
        <family val="2"/>
      </rPr>
      <t xml:space="preserve">월 마감일에 담당자가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계약 원장 파일을 업로드하고 </t>
    </r>
    <r>
      <rPr>
        <sz val="9"/>
        <rFont val="맑은 고딕"/>
        <family val="0"/>
        <charset val="1"/>
      </rPr>
      <t xml:space="preserve">`/</t>
    </r>
    <r>
      <rPr>
        <sz val="9"/>
        <rFont val="WenQuanYi Zen Hei"/>
        <family val="2"/>
      </rPr>
      <t xml:space="preserve">월마감 </t>
    </r>
    <r>
      <rPr>
        <sz val="9"/>
        <rFont val="맑은 고딕"/>
        <family val="0"/>
        <charset val="1"/>
      </rPr>
      <t xml:space="preserve">202608` </t>
    </r>
    <r>
      <rPr>
        <sz val="9"/>
        <rFont val="WenQuanYi Zen Hei"/>
        <family val="2"/>
      </rPr>
      <t xml:space="preserve">실행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스케줄이 아니라 사람 트리거로 둔 이유 — 원장 확정 시점이 매월 유동적이기 때문</t>
    </r>
    <r>
      <rPr>
        <sz val="9"/>
        <rFont val="맑은 고딕"/>
        <family val="0"/>
        <charset val="1"/>
      </rPr>
      <t xml:space="preserve">.</t>
    </r>
  </si>
  <si>
    <t xml:space="preserve">사람</t>
  </si>
  <si>
    <r>
      <rPr>
        <sz val="9"/>
        <rFont val="WenQuanYi Zen Hei"/>
        <family val="2"/>
      </rPr>
      <t xml:space="preserve">커스텀 명령어 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월마감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인자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대상 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</si>
  <si>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실행 로그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입력 파일 목록 확인 메시지</t>
    </r>
  </si>
  <si>
    <r>
      <rPr>
        <sz val="9"/>
        <rFont val="WenQuanYi Zen Hei"/>
        <family val="2"/>
      </rPr>
      <t xml:space="preserve">입력 파일이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계약 중 하나라도 누락 시 즉시 정지</t>
    </r>
  </si>
  <si>
    <t xml:space="preserve">계획</t>
  </si>
  <si>
    <r>
      <rPr>
        <sz val="9"/>
        <rFont val="WenQuanYi Zen Hei"/>
        <family val="2"/>
      </rPr>
      <t xml:space="preserve">대상 월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계약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축을 확인하고 처리 순서를 제시한 뒤 사람 승인을 받는다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원장 양식이 전월과 다르면 먼저 질문한다</t>
    </r>
    <r>
      <rPr>
        <sz val="9"/>
        <rFont val="맑은 고딕"/>
        <family val="0"/>
        <charset val="1"/>
      </rPr>
      <t xml:space="preserve">.</t>
    </r>
  </si>
  <si>
    <t xml:space="preserve">Claude Sonnet</t>
  </si>
  <si>
    <r>
      <rPr>
        <sz val="9"/>
        <rFont val="맑은 고딕"/>
        <family val="0"/>
        <charset val="1"/>
      </rPr>
      <t xml:space="preserve">Plan </t>
    </r>
    <r>
      <rPr>
        <sz val="9"/>
        <rFont val="WenQuanYi Zen Hei"/>
        <family val="2"/>
      </rPr>
      <t xml:space="preserve">모드</t>
    </r>
  </si>
  <si>
    <r>
      <rPr>
        <sz val="9"/>
        <rFont val="WenQuanYi Zen Hei"/>
        <family val="2"/>
      </rPr>
      <t xml:space="preserve">처리 계획 요약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대상 계약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집계 항목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산출 파일명</t>
    </r>
    <r>
      <rPr>
        <sz val="9"/>
        <rFont val="맑은 고딕"/>
        <family val="0"/>
        <charset val="1"/>
      </rPr>
      <t xml:space="preserve">)</t>
    </r>
  </si>
  <si>
    <t xml:space="preserve">전월 대비 원장 컬럼 구조가 바뀐 경우 → 질문 후 대기</t>
  </si>
  <si>
    <t xml:space="preserve">실행 ①</t>
  </si>
  <si>
    <r>
      <rPr>
        <sz val="9"/>
        <rFont val="WenQuanYi Zen Hei"/>
        <family val="2"/>
      </rPr>
      <t xml:space="preserve">계약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축 분리 파싱 — </t>
    </r>
    <r>
      <rPr>
        <sz val="9"/>
        <rFont val="맑은 고딕"/>
        <family val="0"/>
        <charset val="1"/>
      </rPr>
      <t xml:space="preserve">AP </t>
    </r>
    <r>
      <rPr>
        <sz val="9"/>
        <rFont val="WenQuanYi Zen Hei"/>
        <family val="2"/>
      </rPr>
      <t xml:space="preserve">생산도급 </t>
    </r>
    <r>
      <rPr>
        <sz val="9"/>
        <rFont val="맑은 고딕"/>
        <family val="0"/>
        <charset val="1"/>
      </rPr>
      <t xml:space="preserve">/ AP </t>
    </r>
    <r>
      <rPr>
        <sz val="9"/>
        <rFont val="WenQuanYi Zen Hei"/>
        <family val="2"/>
      </rPr>
      <t xml:space="preserve">업무도급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코스비전 생산도급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코스비전 업무도급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합산 금지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출처 컬럼 유지</t>
    </r>
    <r>
      <rPr>
        <sz val="9"/>
        <rFont val="맑은 고딕"/>
        <family val="0"/>
        <charset val="1"/>
      </rPr>
      <t xml:space="preserve">.</t>
    </r>
  </si>
  <si>
    <t xml:space="preserve">수집 서브에이전트</t>
  </si>
  <si>
    <r>
      <rPr>
        <sz val="9"/>
        <rFont val="맑은 고딕"/>
        <family val="0"/>
        <charset val="1"/>
      </rPr>
      <t xml:space="preserve">Claude Haiku (</t>
    </r>
    <r>
      <rPr>
        <sz val="9"/>
        <rFont val="WenQuanYi Zen Hei"/>
        <family val="2"/>
      </rPr>
      <t xml:space="preserve">정형 파싱</t>
    </r>
    <r>
      <rPr>
        <sz val="9"/>
        <rFont val="맑은 고딕"/>
        <family val="0"/>
        <charset val="1"/>
      </rPr>
      <t xml:space="preserve">)</t>
    </r>
  </si>
  <si>
    <t xml:space="preserve">계약별 정규화 데이터셋</t>
  </si>
  <si>
    <t xml:space="preserve">계약 식별 불가 행 발생 시 해당 행 격리 후 보고</t>
  </si>
  <si>
    <t xml:space="preserve">실행 ②</t>
  </si>
  <si>
    <r>
      <rPr>
        <sz val="9"/>
        <rFont val="WenQuanYi Zen Hei"/>
        <family val="2"/>
      </rPr>
      <t xml:space="preserve">계약별 근태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·LOSS·</t>
    </r>
    <r>
      <rPr>
        <sz val="9"/>
        <rFont val="WenQuanYi Zen Hei"/>
        <family val="2"/>
      </rPr>
      <t xml:space="preserve">인원 집계표 생성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코스비전 세탁실은 별도 정산 항목으로 분리</t>
    </r>
    <r>
      <rPr>
        <sz val="9"/>
        <rFont val="맑은 고딕"/>
        <family val="0"/>
        <charset val="1"/>
      </rPr>
      <t xml:space="preserve">.</t>
    </r>
  </si>
  <si>
    <t xml:space="preserve">xlsx Skill</t>
  </si>
  <si>
    <t xml:space="preserve">Claude Sonnet + xlsx Skill</t>
  </si>
  <si>
    <r>
      <rPr>
        <sz val="9"/>
        <rFont val="WenQuanYi Zen Hei"/>
        <family val="2"/>
      </rPr>
      <t xml:space="preserve">마감 집계 </t>
    </r>
    <r>
      <rPr>
        <sz val="9"/>
        <rFont val="맑은 고딕"/>
        <family val="0"/>
        <charset val="1"/>
      </rPr>
      <t xml:space="preserve">.xlsx </t>
    </r>
    <r>
      <rPr>
        <sz val="9"/>
        <rFont val="WenQuanYi Zen Hei"/>
        <family val="2"/>
      </rPr>
      <t xml:space="preserve">초안</t>
    </r>
  </si>
  <si>
    <t xml:space="preserve">—</t>
  </si>
  <si>
    <t xml:space="preserve">검증</t>
  </si>
  <si>
    <r>
      <rPr>
        <sz val="9"/>
        <rFont val="WenQuanYi Zen Hei"/>
        <family val="2"/>
      </rPr>
      <t xml:space="preserve">① 계약별 인원 합계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재적 인원 대조 ② 전월 대비 공수 증감 </t>
    </r>
    <r>
      <rPr>
        <sz val="9"/>
        <rFont val="맑은 고딕"/>
        <family val="0"/>
        <charset val="1"/>
      </rPr>
      <t xml:space="preserve">±15% </t>
    </r>
    <r>
      <rPr>
        <sz val="9"/>
        <rFont val="WenQuanYi Zen Hei"/>
        <family val="2"/>
      </rPr>
      <t xml:space="preserve">초과 항목 플래그 ③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공수 합계 </t>
    </r>
    <r>
      <rPr>
        <sz val="9"/>
        <rFont val="맑은 고딕"/>
        <family val="0"/>
        <charset val="1"/>
      </rPr>
      <t xml:space="preserve">= MES </t>
    </r>
    <r>
      <rPr>
        <sz val="9"/>
        <rFont val="WenQuanYi Zen Hei"/>
        <family val="2"/>
      </rPr>
      <t xml:space="preserve">원본 합계 일치 확인</t>
    </r>
    <r>
      <rPr>
        <sz val="9"/>
        <rFont val="맑은 고딕"/>
        <family val="0"/>
        <charset val="1"/>
      </rPr>
      <t xml:space="preserve">.</t>
    </r>
  </si>
  <si>
    <t xml:space="preserve">검증 서브에이전트</t>
  </si>
  <si>
    <r>
      <rPr>
        <sz val="9"/>
        <rFont val="맑은 고딕"/>
        <family val="0"/>
        <charset val="1"/>
      </rPr>
      <t xml:space="preserve">Claude Haiku (</t>
    </r>
    <r>
      <rPr>
        <sz val="9"/>
        <rFont val="WenQuanYi Zen Hei"/>
        <family val="2"/>
      </rPr>
      <t xml:space="preserve">수치 대조 전용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</si>
  <si>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검증 결과표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통과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플래그 항목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</si>
  <si>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플래그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건이라도 발생 시 저장 중단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사람에게 보고</t>
    </r>
  </si>
  <si>
    <t xml:space="preserve">산출</t>
  </si>
  <si>
    <r>
      <rPr>
        <sz val="9"/>
        <rFont val="WenQuanYi Zen Hei"/>
        <family val="2"/>
      </rPr>
      <t xml:space="preserve">신규 파일로만 저장 </t>
    </r>
    <r>
      <rPr>
        <sz val="9"/>
        <rFont val="맑은 고딕"/>
        <family val="0"/>
        <charset val="1"/>
      </rPr>
      <t xml:space="preserve">(YYYYMM_</t>
    </r>
    <r>
      <rPr>
        <sz val="9"/>
        <rFont val="WenQuanYi Zen Hei"/>
        <family val="2"/>
      </rPr>
      <t xml:space="preserve">고객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계약유형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마감</t>
    </r>
    <r>
      <rPr>
        <sz val="9"/>
        <rFont val="맑은 고딕"/>
        <family val="0"/>
        <charset val="1"/>
      </rPr>
      <t xml:space="preserve">_v1.xlsx). </t>
    </r>
    <r>
      <rPr>
        <sz val="9"/>
        <rFont val="WenQuanYi Zen Hei"/>
        <family val="2"/>
      </rPr>
      <t xml:space="preserve">기존 파일 덮어쓰기 금지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본사 제출은 센터장 승인 후 사람이 직접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</si>
  <si>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자동 저장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사람 승인</t>
    </r>
  </si>
  <si>
    <r>
      <rPr>
        <sz val="9"/>
        <rFont val="WenQuanYi Zen Hei"/>
        <family val="2"/>
      </rPr>
      <t xml:space="preserve">파일 저장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외부 전송 차단 </t>
    </r>
    <r>
      <rPr>
        <sz val="9"/>
        <rFont val="맑은 고딕"/>
        <family val="0"/>
        <charset val="1"/>
      </rPr>
      <t xml:space="preserve">Hook</t>
    </r>
  </si>
  <si>
    <r>
      <rPr>
        <sz val="9"/>
        <rFont val="WenQuanYi Zen Hei"/>
        <family val="2"/>
      </rPr>
      <t xml:space="preserve">마감 집계 </t>
    </r>
    <r>
      <rPr>
        <sz val="9"/>
        <rFont val="맑은 고딕"/>
        <family val="0"/>
        <charset val="1"/>
      </rPr>
      <t xml:space="preserve">.xlsx + </t>
    </r>
    <r>
      <rPr>
        <sz val="9"/>
        <rFont val="WenQuanYi Zen Hei"/>
        <family val="2"/>
      </rPr>
      <t xml:space="preserve">전월 대비 증감 요약</t>
    </r>
  </si>
  <si>
    <r>
      <rPr>
        <sz val="9"/>
        <rFont val="WenQuanYi Zen Hei"/>
        <family val="2"/>
      </rPr>
      <t xml:space="preserve">외부 전송 시도 시 </t>
    </r>
    <r>
      <rPr>
        <sz val="9"/>
        <rFont val="맑은 고딕"/>
        <family val="0"/>
        <charset val="1"/>
      </rPr>
      <t xml:space="preserve">Hook</t>
    </r>
    <r>
      <rPr>
        <sz val="9"/>
        <rFont val="WenQuanYi Zen Hei"/>
        <family val="2"/>
      </rPr>
      <t xml:space="preserve">이 무조건 차단</t>
    </r>
  </si>
  <si>
    <r>
      <rPr>
        <b val="true"/>
        <sz val="12"/>
        <color rgb="FFFFFFFF"/>
        <rFont val="맑은 고딕"/>
        <family val="0"/>
        <charset val="1"/>
      </rPr>
      <t xml:space="preserve">② UC-02  MES LOSS </t>
    </r>
    <r>
      <rPr>
        <b val="true"/>
        <sz val="12"/>
        <color rgb="FFFFFFFF"/>
        <rFont val="WenQuanYi Zen Hei"/>
        <family val="2"/>
      </rPr>
      <t xml:space="preserve">귀책 분류 </t>
    </r>
    <r>
      <rPr>
        <b val="true"/>
        <sz val="12"/>
        <color rgb="FFFFFFFF"/>
        <rFont val="맑은 고딕"/>
        <family val="0"/>
        <charset val="1"/>
      </rPr>
      <t xml:space="preserve">+ </t>
    </r>
    <r>
      <rPr>
        <b val="true"/>
        <sz val="12"/>
        <color rgb="FFFFFFFF"/>
        <rFont val="WenQuanYi Zen Hei"/>
        <family val="2"/>
      </rPr>
      <t xml:space="preserve">월간 리포트 파이프라인</t>
    </r>
  </si>
  <si>
    <r>
      <rPr>
        <sz val="9"/>
        <rFont val="맑은 고딕"/>
        <family val="0"/>
        <charset val="1"/>
      </rPr>
      <t xml:space="preserve">MES</t>
    </r>
    <r>
      <rPr>
        <sz val="9"/>
        <rFont val="WenQuanYi Zen Hei"/>
        <family val="2"/>
      </rPr>
      <t xml:space="preserve">에서 월간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원시데이터를 추출해 업로드하고 </t>
    </r>
    <r>
      <rPr>
        <sz val="9"/>
        <rFont val="맑은 고딕"/>
        <family val="0"/>
        <charset val="1"/>
      </rPr>
      <t xml:space="preserve">`/loss</t>
    </r>
    <r>
      <rPr>
        <sz val="9"/>
        <rFont val="WenQuanYi Zen Hei"/>
        <family val="2"/>
      </rPr>
      <t xml:space="preserve">분석 </t>
    </r>
    <r>
      <rPr>
        <sz val="9"/>
        <rFont val="맑은 고딕"/>
        <family val="0"/>
        <charset val="1"/>
      </rPr>
      <t xml:space="preserve">202608` </t>
    </r>
    <r>
      <rPr>
        <sz val="9"/>
        <rFont val="WenQuanYi Zen Hei"/>
        <family val="2"/>
      </rPr>
      <t xml:space="preserve">실행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</si>
  <si>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커스텀 명령어 </t>
    </r>
    <r>
      <rPr>
        <sz val="9"/>
        <rFont val="맑은 고딕"/>
        <family val="0"/>
        <charset val="1"/>
      </rPr>
      <t xml:space="preserve">/loss</t>
    </r>
    <r>
      <rPr>
        <sz val="9"/>
        <rFont val="WenQuanYi Zen Hei"/>
        <family val="2"/>
      </rPr>
      <t xml:space="preserve">분석</t>
    </r>
  </si>
  <si>
    <r>
      <rPr>
        <sz val="9"/>
        <rFont val="WenQuanYi Zen Hei"/>
        <family val="2"/>
      </rPr>
      <t xml:space="preserve">실행 로그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행 수 확인</t>
    </r>
  </si>
  <si>
    <r>
      <rPr>
        <sz val="9"/>
        <rFont val="WenQuanYi Zen Hei"/>
        <family val="2"/>
      </rPr>
      <t xml:space="preserve">행 수가 전월 대비 </t>
    </r>
    <r>
      <rPr>
        <sz val="9"/>
        <rFont val="맑은 고딕"/>
        <family val="0"/>
        <charset val="1"/>
      </rPr>
      <t xml:space="preserve">±50% </t>
    </r>
    <r>
      <rPr>
        <sz val="9"/>
        <rFont val="WenQuanYi Zen Hei"/>
        <family val="2"/>
      </rPr>
      <t xml:space="preserve">이상 차이 → 추출 오류 의심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확인 요청</t>
    </r>
  </si>
  <si>
    <r>
      <rPr>
        <sz val="9"/>
        <rFont val="WenQuanYi Zen Hei"/>
        <family val="2"/>
      </rPr>
      <t xml:space="preserve">사유코드 분포를 먼저 요약해 보여주고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신규 사유코드가 있으면 분류 룰 적용 전에 질문한다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</si>
  <si>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사유코드 분포표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신규 코드 목록</t>
    </r>
  </si>
  <si>
    <t xml:space="preserve">정의서에 없는 신규 사유코드 발견 시 → 질문 후 대기</t>
  </si>
  <si>
    <r>
      <rPr>
        <sz val="9"/>
        <rFont val="WenQuanYi Zen Hei"/>
        <family val="2"/>
      </rPr>
      <t xml:space="preserve">사유 텍스트 정규화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표기 흔들림 통일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후 귀책 분류 룰 적용 — 원청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도급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공통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룰에 매칭되지 않는 건은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보류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로 격리하며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추측 분류 금지</t>
    </r>
    <r>
      <rPr>
        <sz val="9"/>
        <rFont val="맑은 고딕"/>
        <family val="0"/>
        <charset val="1"/>
      </rPr>
      <t xml:space="preserve">.</t>
    </r>
  </si>
  <si>
    <t xml:space="preserve">분류 서브에이전트</t>
  </si>
  <si>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귀책분류 </t>
    </r>
    <r>
      <rPr>
        <sz val="9"/>
        <rFont val="맑은 고딕"/>
        <family val="0"/>
        <charset val="1"/>
      </rPr>
      <t xml:space="preserve">Skill (</t>
    </r>
    <r>
      <rPr>
        <sz val="9"/>
        <rFont val="WenQuanYi Zen Hei"/>
        <family val="2"/>
      </rPr>
      <t xml:space="preserve">카테고리 정의서 내장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</si>
  <si>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귀책 분류 데이터셋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보류건 목록</t>
    </r>
  </si>
  <si>
    <r>
      <rPr>
        <sz val="9"/>
        <rFont val="WenQuanYi Zen Hei"/>
        <family val="2"/>
      </rPr>
      <t xml:space="preserve">보류 비율이 전체의 </t>
    </r>
    <r>
      <rPr>
        <sz val="9"/>
        <rFont val="맑은 고딕"/>
        <family val="0"/>
        <charset val="1"/>
      </rPr>
      <t xml:space="preserve">10% </t>
    </r>
    <r>
      <rPr>
        <sz val="9"/>
        <rFont val="WenQuanYi Zen Hei"/>
        <family val="2"/>
      </rPr>
      <t xml:space="preserve">초과 시 정지 — 룰 자체를 재검토해야 하는 신호</t>
    </r>
  </si>
  <si>
    <r>
      <rPr>
        <sz val="9"/>
        <rFont val="WenQuanYi Zen Hei"/>
        <family val="2"/>
      </rPr>
      <t xml:space="preserve">두 축 병행 산출 — ⓐ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비용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비조업 공수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임률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정산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협상 근거</t>
    </r>
    <r>
      <rPr>
        <sz val="9"/>
        <rFont val="맑은 고딕"/>
        <family val="0"/>
        <charset val="1"/>
      </rPr>
      <t xml:space="preserve">) ⓑ </t>
    </r>
    <r>
      <rPr>
        <sz val="9"/>
        <rFont val="WenQuanYi Zen Hei"/>
        <family val="2"/>
      </rPr>
      <t xml:space="preserve">효율 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환산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월 공수 </t>
    </r>
    <r>
      <rPr>
        <sz val="9"/>
        <rFont val="맑은 고딕"/>
        <family val="0"/>
        <charset val="1"/>
      </rPr>
      <t xml:space="preserve">×(</t>
    </r>
    <r>
      <rPr>
        <sz val="9"/>
        <rFont val="WenQuanYi Zen Hei"/>
        <family val="2"/>
      </rPr>
      <t xml:space="preserve">목표효율−실효율</t>
    </r>
    <r>
      <rPr>
        <sz val="9"/>
        <rFont val="맑은 고딕"/>
        <family val="0"/>
        <charset val="1"/>
      </rPr>
      <t xml:space="preserve">)/100 × </t>
    </r>
    <r>
      <rPr>
        <sz val="9"/>
        <rFont val="WenQuanYi Zen Hei"/>
        <family val="2"/>
      </rPr>
      <t xml:space="preserve">임률</t>
    </r>
    <r>
      <rPr>
        <sz val="9"/>
        <rFont val="맑은 고딕"/>
        <family val="0"/>
        <charset val="1"/>
      </rPr>
      <t xml:space="preserve">(KPI </t>
    </r>
    <r>
      <rPr>
        <sz val="9"/>
        <rFont val="WenQuanYi Zen Hei"/>
        <family val="2"/>
      </rPr>
      <t xml:space="preserve">미달 비용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추정치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두 값이 다른 것이 정상이며 합산하지 않는다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</si>
  <si>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귀책별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비용표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효율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환산표</t>
    </r>
  </si>
  <si>
    <t xml:space="preserve">두 축을 합산하려는 산식이 만들어지면 정지</t>
  </si>
  <si>
    <r>
      <rPr>
        <sz val="9"/>
        <rFont val="WenQuanYi Zen Hei"/>
        <family val="2"/>
      </rPr>
      <t xml:space="preserve">① 귀책 합계 공수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원본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총 공수 일치 ② 표본 </t>
    </r>
    <r>
      <rPr>
        <sz val="9"/>
        <rFont val="맑은 고딕"/>
        <family val="0"/>
        <charset val="1"/>
      </rPr>
      <t xml:space="preserve">50</t>
    </r>
    <r>
      <rPr>
        <sz val="9"/>
        <rFont val="WenQuanYi Zen Hei"/>
        <family val="2"/>
      </rPr>
      <t xml:space="preserve">행 역검증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같은 사유코드가 다른 귀책으로 분류된 건 </t>
    </r>
    <r>
      <rPr>
        <sz val="9"/>
        <rFont val="맑은 고딕"/>
        <family val="0"/>
        <charset val="1"/>
      </rPr>
      <t xml:space="preserve">0) ③ </t>
    </r>
    <r>
      <rPr>
        <sz val="9"/>
        <rFont val="WenQuanYi Zen Hei"/>
        <family val="2"/>
      </rPr>
      <t xml:space="preserve">공통 </t>
    </r>
    <r>
      <rPr>
        <sz val="9"/>
        <rFont val="맑은 고딕"/>
        <family val="0"/>
        <charset val="1"/>
      </rPr>
      <t xml:space="preserve">LOSS</t>
    </r>
    <r>
      <rPr>
        <sz val="9"/>
        <rFont val="WenQuanYi Zen Hei"/>
        <family val="2"/>
      </rPr>
      <t xml:space="preserve">를 </t>
    </r>
    <r>
      <rPr>
        <sz val="9"/>
        <rFont val="맑은 고딕"/>
        <family val="0"/>
        <charset val="1"/>
      </rPr>
      <t xml:space="preserve">50:50</t>
    </r>
    <r>
      <rPr>
        <sz val="9"/>
        <rFont val="WenQuanYi Zen Hei"/>
        <family val="2"/>
      </rPr>
      <t xml:space="preserve">으로 임의 배분한 흔적 없는지 확인</t>
    </r>
    <r>
      <rPr>
        <sz val="9"/>
        <rFont val="맑은 고딕"/>
        <family val="0"/>
        <charset val="1"/>
      </rPr>
      <t xml:space="preserve">.</t>
    </r>
  </si>
  <si>
    <t xml:space="preserve">Claude Haiku</t>
  </si>
  <si>
    <r>
      <rPr>
        <sz val="9"/>
        <rFont val="WenQuanYi Zen Hei"/>
        <family val="2"/>
      </rPr>
      <t xml:space="preserve">검증 결과표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표본 대조 로그</t>
    </r>
  </si>
  <si>
    <r>
      <rPr>
        <sz val="9"/>
        <rFont val="WenQuanYi Zen Hei"/>
        <family val="2"/>
      </rPr>
      <t xml:space="preserve">동일 사유코드 이중 분류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건이라도 발견 시 정지</t>
    </r>
  </si>
  <si>
    <r>
      <rPr>
        <sz val="9"/>
        <rFont val="WenQuanYi Zen Hei"/>
        <family val="2"/>
      </rPr>
      <t xml:space="preserve">월간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리포트 신규 저장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보류건은 사람 판정 회부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원청 제출본은 센터장 승인 후에만 별도 생성하며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분류 로직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정의서는 산출물에 포함하지 않는다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</si>
  <si>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자동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사람 판정</t>
    </r>
  </si>
  <si>
    <r>
      <rPr>
        <sz val="9"/>
        <rFont val="맑은 고딕"/>
        <family val="0"/>
        <charset val="1"/>
      </rPr>
      <t xml:space="preserve">xlsx Skill / </t>
    </r>
    <r>
      <rPr>
        <sz val="9"/>
        <rFont val="WenQuanYi Zen Hei"/>
        <family val="2"/>
      </rPr>
      <t xml:space="preserve">외부 전송 차단 </t>
    </r>
    <r>
      <rPr>
        <sz val="9"/>
        <rFont val="맑은 고딕"/>
        <family val="0"/>
        <charset val="1"/>
      </rPr>
      <t xml:space="preserve">Hook</t>
    </r>
  </si>
  <si>
    <r>
      <rPr>
        <sz val="9"/>
        <rFont val="WenQuanYi Zen Hei"/>
        <family val="2"/>
      </rPr>
      <t xml:space="preserve">월간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리포트 </t>
    </r>
    <r>
      <rPr>
        <sz val="9"/>
        <rFont val="맑은 고딕"/>
        <family val="0"/>
        <charset val="1"/>
      </rPr>
      <t xml:space="preserve">.xlsx + </t>
    </r>
    <r>
      <rPr>
        <sz val="9"/>
        <rFont val="WenQuanYi Zen Hei"/>
        <family val="2"/>
      </rPr>
      <t xml:space="preserve">보류건 판정 요청 목록</t>
    </r>
  </si>
  <si>
    <t xml:space="preserve">정의서 내용이 외부 제출본에 포함되면 차단</t>
  </si>
  <si>
    <r>
      <rPr>
        <sz val="9"/>
        <color rgb="FF404040"/>
        <rFont val="WenQuanYi Zen Hei"/>
        <family val="2"/>
      </rPr>
      <t xml:space="preserve">■ 안전장치 </t>
    </r>
    <r>
      <rPr>
        <sz val="9"/>
        <color rgb="FF404040"/>
        <rFont val="맑은 고딕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종 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교재 </t>
    </r>
    <r>
      <rPr>
        <sz val="9"/>
        <color rgb="FF404040"/>
        <rFont val="맑은 고딕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장 </t>
    </r>
    <r>
      <rPr>
        <sz val="9"/>
        <color rgb="FF404040"/>
        <rFont val="맑은 고딕"/>
        <family val="0"/>
        <charset val="1"/>
      </rPr>
      <t xml:space="preserve">(2) </t>
    </r>
    <r>
      <rPr>
        <sz val="9"/>
        <color rgb="FF404040"/>
        <rFont val="WenQuanYi Zen Hei"/>
        <family val="2"/>
      </rPr>
      <t xml:space="preserve">적용</t>
    </r>
    <r>
      <rPr>
        <sz val="9"/>
        <color rgb="FF404040"/>
        <rFont val="맑은 고딕"/>
        <family val="0"/>
        <charset val="1"/>
      </rPr>
      <t xml:space="preserve">) — ① </t>
    </r>
    <r>
      <rPr>
        <sz val="9"/>
        <color rgb="FF404040"/>
        <rFont val="WenQuanYi Zen Hei"/>
        <family val="2"/>
      </rPr>
      <t xml:space="preserve">검증 단계 명시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두 파이프라인 모두 저장 직전 검증 단계를 두고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플래그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건이라도 발생하면 저장을 중단한다</t>
    </r>
    <r>
      <rPr>
        <sz val="9"/>
        <color rgb="FF404040"/>
        <rFont val="맑은 고딕"/>
        <family val="0"/>
        <charset val="1"/>
      </rPr>
      <t xml:space="preserve">. ② </t>
    </r>
    <r>
      <rPr>
        <sz val="9"/>
        <color rgb="FF404040"/>
        <rFont val="WenQuanYi Zen Hei"/>
        <family val="2"/>
      </rPr>
      <t xml:space="preserve">권한 범위 제한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읽기 </t>
    </r>
    <r>
      <rPr>
        <sz val="9"/>
        <color rgb="FF404040"/>
        <rFont val="맑은 고딕"/>
        <family val="0"/>
        <charset val="1"/>
      </rPr>
      <t xml:space="preserve">+ </t>
    </r>
    <r>
      <rPr>
        <sz val="9"/>
        <color rgb="FF404040"/>
        <rFont val="WenQuanYi Zen Hei"/>
        <family val="2"/>
      </rPr>
      <t xml:space="preserve">신규 파일 생성만 허용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원본 수정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삭제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외부 전송은 자동 실행 대상에서 제외</t>
    </r>
    <r>
      <rPr>
        <sz val="9"/>
        <color rgb="FF404040"/>
        <rFont val="맑은 고딕"/>
        <family val="0"/>
        <charset val="1"/>
      </rPr>
      <t xml:space="preserve">. ③ </t>
    </r>
    <r>
      <rPr>
        <sz val="9"/>
        <color rgb="FF404040"/>
        <rFont val="WenQuanYi Zen Hei"/>
        <family val="2"/>
      </rPr>
      <t xml:space="preserve">되돌리기 경로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산출물은 항상 신규 파일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신규 버전으로만 저장한다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</si>
  <si>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맑은 고딕"/>
        <family val="0"/>
        <charset val="1"/>
      </rPr>
      <t xml:space="preserve">■ Hook</t>
    </r>
    <r>
      <rPr>
        <sz val="9"/>
        <color rgb="FF404040"/>
        <rFont val="WenQuanYi Zen Hei"/>
        <family val="2"/>
      </rPr>
      <t xml:space="preserve">을 쓰는 이유 — </t>
    </r>
    <r>
      <rPr>
        <sz val="9"/>
        <color rgb="FF404040"/>
        <rFont val="맑은 고딕"/>
        <family val="0"/>
        <charset val="1"/>
      </rPr>
      <t xml:space="preserve">CLAUDE.md </t>
    </r>
    <r>
      <rPr>
        <sz val="9"/>
        <color rgb="FF404040"/>
        <rFont val="WenQuanYi Zen Hei"/>
        <family val="2"/>
      </rPr>
      <t xml:space="preserve">지침은 </t>
    </r>
    <r>
      <rPr>
        <sz val="9"/>
        <color rgb="FF404040"/>
        <rFont val="맑은 고딕"/>
        <family val="0"/>
        <charset val="1"/>
      </rPr>
      <t xml:space="preserve">AI</t>
    </r>
    <r>
      <rPr>
        <sz val="9"/>
        <color rgb="FF404040"/>
        <rFont val="WenQuanYi Zen Hei"/>
        <family val="2"/>
      </rPr>
      <t xml:space="preserve">가 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WenQuanYi Zen Hei"/>
        <family val="2"/>
      </rPr>
      <t xml:space="preserve">읽고 따르는</t>
    </r>
    <r>
      <rPr>
        <sz val="9"/>
        <color rgb="FF404040"/>
        <rFont val="맑은 고딕"/>
        <family val="0"/>
        <charset val="1"/>
      </rPr>
      <t xml:space="preserve">' </t>
    </r>
    <r>
      <rPr>
        <sz val="9"/>
        <color rgb="FF404040"/>
        <rFont val="WenQuanYi Zen Hei"/>
        <family val="2"/>
      </rPr>
      <t xml:space="preserve">규칙이라 상황에 따라 놓칠 수 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개인정보 포함 파일의 외부 전송 차단처럼 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WenQuanYi Zen Hei"/>
        <family val="2"/>
      </rPr>
      <t xml:space="preserve">반드시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WenQuanYi Zen Hei"/>
        <family val="2"/>
      </rPr>
      <t xml:space="preserve">가 필요한 항목은 지침이 아니라 </t>
    </r>
    <r>
      <rPr>
        <sz val="9"/>
        <color rgb="FF404040"/>
        <rFont val="맑은 고딕"/>
        <family val="0"/>
        <charset val="1"/>
      </rPr>
      <t xml:space="preserve">Hook</t>
    </r>
    <r>
      <rPr>
        <sz val="9"/>
        <color rgb="FF404040"/>
        <rFont val="WenQuanYi Zen Hei"/>
        <family val="2"/>
      </rPr>
      <t xml:space="preserve">으로 건다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</si>
  <si>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서브에이전트 분리 기준 — 수집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파싱</t>
    </r>
    <r>
      <rPr>
        <sz val="9"/>
        <color rgb="FF404040"/>
        <rFont val="맑은 고딕"/>
        <family val="0"/>
        <charset val="1"/>
      </rPr>
      <t xml:space="preserve">)·</t>
    </r>
    <r>
      <rPr>
        <sz val="9"/>
        <color rgb="FF404040"/>
        <rFont val="WenQuanYi Zen Hei"/>
        <family val="2"/>
      </rPr>
      <t xml:space="preserve">분류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판정</t>
    </r>
    <r>
      <rPr>
        <sz val="9"/>
        <color rgb="FF404040"/>
        <rFont val="맑은 고딕"/>
        <family val="0"/>
        <charset val="1"/>
      </rPr>
      <t xml:space="preserve">)·</t>
    </r>
    <r>
      <rPr>
        <sz val="9"/>
        <color rgb="FF404040"/>
        <rFont val="WenQuanYi Zen Hei"/>
        <family val="2"/>
      </rPr>
      <t xml:space="preserve">검증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대조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은 필요한 관점과 도구가 뚜렷이 다르므로 분리했다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검증은 판단이 아닌 대조 작업이므로 </t>
    </r>
    <r>
      <rPr>
        <sz val="9"/>
        <color rgb="FF404040"/>
        <rFont val="맑은 고딕"/>
        <family val="0"/>
        <charset val="1"/>
      </rPr>
      <t xml:space="preserve">Haiku</t>
    </r>
    <r>
      <rPr>
        <sz val="9"/>
        <color rgb="FF404040"/>
        <rFont val="WenQuanYi Zen Hei"/>
        <family val="2"/>
      </rPr>
      <t xml:space="preserve">로 두어 비용을 낮춘다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</si>
  <si>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반복 한계 — 같은 문제가 </t>
    </r>
    <r>
      <rPr>
        <sz val="9"/>
        <color rgb="FF404040"/>
        <rFont val="맑은 고딕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회 이상 반복되면 결과를 고치지 말고 구조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분리</t>
    </r>
    <r>
      <rPr>
        <sz val="9"/>
        <color rgb="FF404040"/>
        <rFont val="맑은 고딕"/>
        <family val="0"/>
        <charset val="1"/>
      </rPr>
      <t xml:space="preserve">/</t>
    </r>
    <r>
      <rPr>
        <sz val="9"/>
        <color rgb="FF404040"/>
        <rFont val="WenQuanYi Zen Hei"/>
        <family val="2"/>
      </rPr>
      <t xml:space="preserve">통합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부터 재검토한다</t>
    </r>
    <r>
      <rPr>
        <sz val="9"/>
        <color rgb="FF404040"/>
        <rFont val="맑은 고딕"/>
        <family val="0"/>
        <charset val="1"/>
      </rPr>
      <t xml:space="preserve">. UC-02</t>
    </r>
    <r>
      <rPr>
        <sz val="9"/>
        <color rgb="FF404040"/>
        <rFont val="WenQuanYi Zen Hei"/>
        <family val="2"/>
      </rPr>
      <t xml:space="preserve">의 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WenQuanYi Zen Hei"/>
        <family val="2"/>
      </rPr>
      <t xml:space="preserve">보류 </t>
    </r>
    <r>
      <rPr>
        <sz val="9"/>
        <color rgb="FF404040"/>
        <rFont val="맑은 고딕"/>
        <family val="0"/>
        <charset val="1"/>
      </rPr>
      <t xml:space="preserve">10% </t>
    </r>
    <r>
      <rPr>
        <sz val="9"/>
        <color rgb="FF404040"/>
        <rFont val="WenQuanYi Zen Hei"/>
        <family val="2"/>
      </rPr>
      <t xml:space="preserve">초과 정지</t>
    </r>
    <r>
      <rPr>
        <sz val="9"/>
        <color rgb="FF404040"/>
        <rFont val="맑은 고딕"/>
        <family val="0"/>
        <charset val="1"/>
      </rPr>
      <t xml:space="preserve">'</t>
    </r>
    <r>
      <rPr>
        <sz val="9"/>
        <color rgb="FF404040"/>
        <rFont val="WenQuanYi Zen Hei"/>
        <family val="2"/>
      </rPr>
      <t xml:space="preserve">가 그 신호 역할을 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</si>
  <si>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5"/>
        <color rgb="FF1F3864"/>
        <rFont val="WenQuanYi Zen Hei"/>
        <family val="2"/>
      </rPr>
      <t xml:space="preserve">클로드 파이프라인 생성 요청 프롬프트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WenQuanYi Zen Hei"/>
        <family val="2"/>
      </rPr>
      <t xml:space="preserve">그대로 복사해 사용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</si>
  <si>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교재 </t>
    </r>
    <r>
      <rPr>
        <sz val="9"/>
        <color rgb="FF595959"/>
        <rFont val="맑은 고딕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장 </t>
    </r>
    <r>
      <rPr>
        <sz val="9"/>
        <color rgb="FF595959"/>
        <rFont val="맑은 고딕"/>
        <family val="0"/>
        <charset val="1"/>
      </rPr>
      <t xml:space="preserve">(1) 4</t>
    </r>
    <r>
      <rPr>
        <sz val="9"/>
        <color rgb="FF595959"/>
        <rFont val="WenQuanYi Zen Hei"/>
        <family val="2"/>
      </rPr>
      <t xml:space="preserve">요소 구조 — ① 목적 ② 트리거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반복주기 ③ 단계 ④ 판단 기준 </t>
    </r>
    <r>
      <rPr>
        <sz val="9"/>
        <color rgb="FF595959"/>
        <rFont val="맑은 고딕"/>
        <family val="0"/>
        <charset val="1"/>
      </rPr>
      <t xml:space="preserve">+ '</t>
    </r>
    <r>
      <rPr>
        <sz val="9"/>
        <color rgb="FF595959"/>
        <rFont val="WenQuanYi Zen Hei"/>
        <family val="2"/>
      </rPr>
      <t xml:space="preserve">빠진 정보는 먼저 물어봐줘</t>
    </r>
    <r>
      <rPr>
        <sz val="9"/>
        <color rgb="FF595959"/>
        <rFont val="맑은 고딕"/>
        <family val="0"/>
        <charset val="1"/>
      </rPr>
      <t xml:space="preserve">'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</si>
  <si>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</si>
  <si>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프롬프트 원문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복사해서 그대로 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</si>
  <si>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맑은 고딕"/>
        <family val="0"/>
        <charset val="1"/>
      </rPr>
      <t xml:space="preserve">STEP 0 — </t>
    </r>
    <r>
      <rPr>
        <b val="true"/>
        <sz val="10"/>
        <color rgb="FF1F3864"/>
        <rFont val="WenQuanYi Zen Hei"/>
        <family val="2"/>
      </rPr>
      <t xml:space="preserve">구조 위임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처음 만들 때 권장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</si>
  <si>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이 업무를 서브에이전트</t>
    </r>
    <r>
      <rPr>
        <sz val="9"/>
        <rFont val="맑은 고딕"/>
        <family val="0"/>
        <charset val="1"/>
      </rPr>
      <t xml:space="preserve">·Skill·</t>
    </r>
    <r>
      <rPr>
        <sz val="9"/>
        <rFont val="WenQuanYi Zen Hei"/>
        <family val="2"/>
      </rPr>
      <t xml:space="preserve">커스텀 명령어 중 어떻게 나누는 게 좋을지 먼저 제안해줘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바로 만들지 말고 구조 제안부터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업무</t>
    </r>
    <r>
      <rPr>
        <sz val="9"/>
        <rFont val="맑은 고딕"/>
        <family val="0"/>
        <charset val="1"/>
      </rPr>
      <t xml:space="preserve">] AP </t>
    </r>
    <r>
      <rPr>
        <sz val="9"/>
        <rFont val="WenQuanYi Zen Hei"/>
        <family val="2"/>
      </rPr>
      <t xml:space="preserve">대전공장 도급운영 센터의 월 마감 정산자료 작성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아모레퍼시픽 생산도급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업무도급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코스비전 생산도급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업무도급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계약의 근태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·LOSS</t>
    </r>
    <r>
      <rPr>
        <sz val="9"/>
        <rFont val="WenQuanYi Zen Hei"/>
        <family val="2"/>
      </rPr>
      <t xml:space="preserve">를 각각 다른 원장에서 모아 계약별로 집계한다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매월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현재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명이 </t>
    </r>
    <r>
      <rPr>
        <sz val="9"/>
        <rFont val="맑은 고딕"/>
        <family val="0"/>
        <charset val="1"/>
      </rPr>
      <t xml:space="preserve">48</t>
    </r>
    <r>
      <rPr>
        <sz val="9"/>
        <rFont val="WenQuanYi Zen Hei"/>
        <family val="2"/>
      </rPr>
      <t xml:space="preserve">시간 쓴다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제안에는 각 구성요소가 무엇을 담당하는지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왜 나눴는지를 한 줄씩 붙여줘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빠진 정보가 있으면 만들기 전에 먼저 물어봐줘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</si>
  <si>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맑은 고딕"/>
        <family val="0"/>
        <charset val="1"/>
      </rPr>
      <t xml:space="preserve">UC-01 — </t>
    </r>
    <r>
      <rPr>
        <b val="true"/>
        <sz val="10"/>
        <color rgb="FF1F3864"/>
        <rFont val="WenQuanYi Zen Hei"/>
        <family val="2"/>
      </rPr>
      <t xml:space="preserve">월 마감 정산자료 파이프라인 생성</t>
    </r>
  </si>
  <si>
    <r>
      <rPr>
        <sz val="9"/>
        <rFont val="WenQuanYi Zen Hei"/>
        <family val="2"/>
      </rPr>
      <t xml:space="preserve">월 마감 정산자료 작성을 자동화하는 파이프라인을 만들어줘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목적</t>
    </r>
    <r>
      <rPr>
        <sz val="9"/>
        <rFont val="맑은 고딕"/>
        <family val="0"/>
        <charset val="1"/>
      </rPr>
      <t xml:space="preserve">] 4</t>
    </r>
    <r>
      <rPr>
        <sz val="9"/>
        <rFont val="WenQuanYi Zen Hei"/>
        <family val="2"/>
      </rPr>
      <t xml:space="preserve">개 계약의 마감 집계를 매월 같은 기준으로 작성해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작성공수를 </t>
    </r>
    <r>
      <rPr>
        <sz val="9"/>
        <rFont val="맑은 고딕"/>
        <family val="0"/>
        <charset val="1"/>
      </rPr>
      <t xml:space="preserve">48</t>
    </r>
    <r>
      <rPr>
        <sz val="9"/>
        <rFont val="WenQuanYi Zen Hei"/>
        <family val="2"/>
      </rPr>
      <t xml:space="preserve">시간에서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시간으로 줄이고 본사 반려를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건으로 만든다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트리거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내가 원장 파일들을 올리고 </t>
    </r>
    <r>
      <rPr>
        <sz val="9"/>
        <rFont val="맑은 고딕"/>
        <family val="0"/>
        <charset val="1"/>
      </rPr>
      <t xml:space="preserve">`/</t>
    </r>
    <r>
      <rPr>
        <sz val="9"/>
        <rFont val="WenQuanYi Zen Hei"/>
        <family val="2"/>
      </rPr>
      <t xml:space="preserve">월마감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대상월</t>
    </r>
    <r>
      <rPr>
        <sz val="9"/>
        <rFont val="맑은 고딕"/>
        <family val="0"/>
        <charset val="1"/>
      </rPr>
      <t xml:space="preserve">]`</t>
    </r>
    <r>
      <rPr>
        <sz val="9"/>
        <rFont val="WenQuanYi Zen Hei"/>
        <family val="2"/>
      </rPr>
      <t xml:space="preserve">을 입력하면 시작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스케줄 자동 실행은 하지 마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단계</t>
    </r>
    <r>
      <rPr>
        <sz val="9"/>
        <rFont val="맑은 고딕"/>
        <family val="0"/>
        <charset val="1"/>
      </rPr>
      <t xml:space="preserve">]
1. </t>
    </r>
    <r>
      <rPr>
        <sz val="9"/>
        <rFont val="WenQuanYi Zen Hei"/>
        <family val="2"/>
      </rPr>
      <t xml:space="preserve">아모레퍼시픽 생산도급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아모레퍼시픽 업무도급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코스비전 생산도급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코스비전 업무도급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축으로 분리해서 파싱해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절대 합산하지 말고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출처를 컬럼으로 남겨줘</t>
    </r>
    <r>
      <rPr>
        <sz val="9"/>
        <rFont val="맑은 고딕"/>
        <family val="0"/>
        <charset val="1"/>
      </rPr>
      <t xml:space="preserve">.
2. </t>
    </r>
    <r>
      <rPr>
        <sz val="9"/>
        <rFont val="WenQuanYi Zen Hei"/>
        <family val="2"/>
      </rPr>
      <t xml:space="preserve">계약별로 근태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공수</t>
    </r>
    <r>
      <rPr>
        <sz val="9"/>
        <rFont val="맑은 고딕"/>
        <family val="0"/>
        <charset val="1"/>
      </rPr>
      <t xml:space="preserve">·LOSS·</t>
    </r>
    <r>
      <rPr>
        <sz val="9"/>
        <rFont val="WenQuanYi Zen Hei"/>
        <family val="2"/>
      </rPr>
      <t xml:space="preserve">인원을 집계한 표를 만들어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코스비전 세탁실은 별도 정산 항목으로 분리해줘</t>
    </r>
    <r>
      <rPr>
        <sz val="9"/>
        <rFont val="맑은 고딕"/>
        <family val="0"/>
        <charset val="1"/>
      </rPr>
      <t xml:space="preserve">.
3. </t>
    </r>
    <r>
      <rPr>
        <sz val="9"/>
        <rFont val="WenQuanYi Zen Hei"/>
        <family val="2"/>
      </rPr>
      <t xml:space="preserve">검증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계약별 인원 합계가 재적 인원과 맞는지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전월 대비 공수 증감이 </t>
    </r>
    <r>
      <rPr>
        <sz val="9"/>
        <rFont val="맑은 고딕"/>
        <family val="0"/>
        <charset val="1"/>
      </rPr>
      <t xml:space="preserve">±15%</t>
    </r>
    <r>
      <rPr>
        <sz val="9"/>
        <rFont val="WenQuanYi Zen Hei"/>
        <family val="2"/>
      </rPr>
      <t xml:space="preserve">를 넘는 항목이 있는지</t>
    </r>
    <r>
      <rPr>
        <sz val="9"/>
        <rFont val="맑은 고딕"/>
        <family val="0"/>
        <charset val="1"/>
      </rPr>
      <t xml:space="preserve">, LOSS </t>
    </r>
    <r>
      <rPr>
        <sz val="9"/>
        <rFont val="WenQuanYi Zen Hei"/>
        <family val="2"/>
      </rPr>
      <t xml:space="preserve">공수 합계가 </t>
    </r>
    <r>
      <rPr>
        <sz val="9"/>
        <rFont val="맑은 고딕"/>
        <family val="0"/>
        <charset val="1"/>
      </rPr>
      <t xml:space="preserve">MES </t>
    </r>
    <r>
      <rPr>
        <sz val="9"/>
        <rFont val="WenQuanYi Zen Hei"/>
        <family val="2"/>
      </rPr>
      <t xml:space="preserve">원본과 일치하는지 확인해</t>
    </r>
    <r>
      <rPr>
        <sz val="9"/>
        <rFont val="맑은 고딕"/>
        <family val="0"/>
        <charset val="1"/>
      </rPr>
      <t xml:space="preserve">.
4. </t>
    </r>
    <r>
      <rPr>
        <sz val="9"/>
        <rFont val="WenQuanYi Zen Hei"/>
        <family val="2"/>
      </rPr>
      <t xml:space="preserve">검증에서 하나라도 걸리면 저장하지 말고 나에게 먼저 보고해</t>
    </r>
    <r>
      <rPr>
        <sz val="9"/>
        <rFont val="맑은 고딕"/>
        <family val="0"/>
        <charset val="1"/>
      </rPr>
      <t xml:space="preserve">.
5. </t>
    </r>
    <r>
      <rPr>
        <sz val="9"/>
        <rFont val="WenQuanYi Zen Hei"/>
        <family val="2"/>
      </rPr>
      <t xml:space="preserve">통과하면 </t>
    </r>
    <r>
      <rPr>
        <sz val="9"/>
        <rFont val="맑은 고딕"/>
        <family val="0"/>
        <charset val="1"/>
      </rPr>
      <t xml:space="preserve">`[</t>
    </r>
    <r>
      <rPr>
        <sz val="9"/>
        <rFont val="WenQuanYi Zen Hei"/>
        <family val="2"/>
      </rPr>
      <t xml:space="preserve">대상월</t>
    </r>
    <r>
      <rPr>
        <sz val="9"/>
        <rFont val="맑은 고딕"/>
        <family val="0"/>
        <charset val="1"/>
      </rPr>
      <t xml:space="preserve">]_[</t>
    </r>
    <r>
      <rPr>
        <sz val="9"/>
        <rFont val="WenQuanYi Zen Hei"/>
        <family val="2"/>
      </rPr>
      <t xml:space="preserve">고객</t>
    </r>
    <r>
      <rPr>
        <sz val="9"/>
        <rFont val="맑은 고딕"/>
        <family val="0"/>
        <charset val="1"/>
      </rPr>
      <t xml:space="preserve">]_[</t>
    </r>
    <r>
      <rPr>
        <sz val="9"/>
        <rFont val="WenQuanYi Zen Hei"/>
        <family val="2"/>
      </rPr>
      <t xml:space="preserve">계약유형</t>
    </r>
    <r>
      <rPr>
        <sz val="9"/>
        <rFont val="맑은 고딕"/>
        <family val="0"/>
        <charset val="1"/>
      </rPr>
      <t xml:space="preserve">]_</t>
    </r>
    <r>
      <rPr>
        <sz val="9"/>
        <rFont val="WenQuanYi Zen Hei"/>
        <family val="2"/>
      </rPr>
      <t xml:space="preserve">마감</t>
    </r>
    <r>
      <rPr>
        <sz val="9"/>
        <rFont val="맑은 고딕"/>
        <family val="0"/>
        <charset val="1"/>
      </rPr>
      <t xml:space="preserve">_v1.xlsx`</t>
    </r>
    <r>
      <rPr>
        <sz val="9"/>
        <rFont val="WenQuanYi Zen Hei"/>
        <family val="2"/>
      </rPr>
      <t xml:space="preserve">로 새 파일 저장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기존 파일은 절대 덮어쓰지 마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판단 기준</t>
    </r>
    <r>
      <rPr>
        <sz val="9"/>
        <rFont val="맑은 고딕"/>
        <family val="0"/>
        <charset val="1"/>
      </rPr>
      <t xml:space="preserve">] 4</t>
    </r>
    <r>
      <rPr>
        <sz val="9"/>
        <rFont val="WenQuanYi Zen Hei"/>
        <family val="2"/>
      </rPr>
      <t xml:space="preserve">개 계약 모두 집계됐고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검증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개 항목이 모두 통과했고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신규 파일로 저장됐으면 성공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제약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읽기와 새 파일 생성만 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원본 원장 수정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삭제 금지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근태 데이터는 개인정보라 외부 전송 금지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원장 양식이 전월과 다르거나 빠진 정보가 있으면 만들기 전에 먼저 물어봐줘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</si>
  <si>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맑은 고딕"/>
        <family val="0"/>
        <charset val="1"/>
      </rPr>
      <t xml:space="preserve">UC-02 — MES LOSS </t>
    </r>
    <r>
      <rPr>
        <b val="true"/>
        <sz val="10"/>
        <color rgb="FF1F3864"/>
        <rFont val="WenQuanYi Zen Hei"/>
        <family val="2"/>
      </rPr>
      <t xml:space="preserve">귀책 분류 파이프라인 생성</t>
    </r>
  </si>
  <si>
    <r>
      <rPr>
        <sz val="9"/>
        <rFont val="맑은 고딕"/>
        <family val="0"/>
        <charset val="1"/>
      </rPr>
      <t xml:space="preserve">MES LOSS </t>
    </r>
    <r>
      <rPr>
        <sz val="9"/>
        <rFont val="WenQuanYi Zen Hei"/>
        <family val="2"/>
      </rPr>
      <t xml:space="preserve">데이터의 귀책 분류와 월간 리포트를 자동화하는 파이프라인을 만들어줘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목적</t>
    </r>
    <r>
      <rPr>
        <sz val="9"/>
        <rFont val="맑은 고딕"/>
        <family val="0"/>
        <charset val="1"/>
      </rPr>
      <t xml:space="preserve">] LOSS </t>
    </r>
    <r>
      <rPr>
        <sz val="9"/>
        <rFont val="WenQuanYi Zen Hei"/>
        <family val="2"/>
      </rPr>
      <t xml:space="preserve">사유를 원청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도급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공통으로 매번 같은 기준으로 분류해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분류공수를 </t>
    </r>
    <r>
      <rPr>
        <sz val="9"/>
        <rFont val="맑은 고딕"/>
        <family val="0"/>
        <charset val="1"/>
      </rPr>
      <t xml:space="preserve">16</t>
    </r>
    <r>
      <rPr>
        <sz val="9"/>
        <rFont val="WenQuanYi Zen Hei"/>
        <family val="2"/>
      </rPr>
      <t xml:space="preserve">시간에서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시간으로 줄이고 같은 사유코드가 다르게 분류되는 일을 없앤다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트리거</t>
    </r>
    <r>
      <rPr>
        <sz val="9"/>
        <rFont val="맑은 고딕"/>
        <family val="0"/>
        <charset val="1"/>
      </rPr>
      <t xml:space="preserve">] MES </t>
    </r>
    <r>
      <rPr>
        <sz val="9"/>
        <rFont val="WenQuanYi Zen Hei"/>
        <family val="2"/>
      </rPr>
      <t xml:space="preserve">추출파일을 올리고 </t>
    </r>
    <r>
      <rPr>
        <sz val="9"/>
        <rFont val="맑은 고딕"/>
        <family val="0"/>
        <charset val="1"/>
      </rPr>
      <t xml:space="preserve">`/loss</t>
    </r>
    <r>
      <rPr>
        <sz val="9"/>
        <rFont val="WenQuanYi Zen Hei"/>
        <family val="2"/>
      </rPr>
      <t xml:space="preserve">분석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대상월</t>
    </r>
    <r>
      <rPr>
        <sz val="9"/>
        <rFont val="맑은 고딕"/>
        <family val="0"/>
        <charset val="1"/>
      </rPr>
      <t xml:space="preserve">]` </t>
    </r>
    <r>
      <rPr>
        <sz val="9"/>
        <rFont val="WenQuanYi Zen Hei"/>
        <family val="2"/>
      </rPr>
      <t xml:space="preserve">입력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단계</t>
    </r>
    <r>
      <rPr>
        <sz val="9"/>
        <rFont val="맑은 고딕"/>
        <family val="0"/>
        <charset val="1"/>
      </rPr>
      <t xml:space="preserve">]
1. </t>
    </r>
    <r>
      <rPr>
        <sz val="9"/>
        <rFont val="WenQuanYi Zen Hei"/>
        <family val="2"/>
      </rPr>
      <t xml:space="preserve">사유코드 분포를 먼저 요약해서 보여줘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정의서에 없는 신규 사유코드가 있으면 분류하지 말고 나에게 물어봐</t>
    </r>
    <r>
      <rPr>
        <sz val="9"/>
        <rFont val="맑은 고딕"/>
        <family val="0"/>
        <charset val="1"/>
      </rPr>
      <t xml:space="preserve">.
2. </t>
    </r>
    <r>
      <rPr>
        <sz val="9"/>
        <rFont val="WenQuanYi Zen Hei"/>
        <family val="2"/>
      </rPr>
      <t xml:space="preserve">사유 텍스트를 정규화한 뒤 귀책 분류 룰을 적용해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룰에 매칭되지 않는 건은 추측하지 말고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보류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로 따로 빼줘</t>
    </r>
    <r>
      <rPr>
        <sz val="9"/>
        <rFont val="맑은 고딕"/>
        <family val="0"/>
        <charset val="1"/>
      </rPr>
      <t xml:space="preserve">.
3. </t>
    </r>
    <r>
      <rPr>
        <sz val="9"/>
        <rFont val="WenQuanYi Zen Hei"/>
        <family val="2"/>
      </rPr>
      <t xml:space="preserve">두 가지를 각각 산출해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합치지 마</t>
    </r>
    <r>
      <rPr>
        <sz val="9"/>
        <rFont val="맑은 고딕"/>
        <family val="0"/>
        <charset val="1"/>
      </rPr>
      <t xml:space="preserve">.
   - LOSS </t>
    </r>
    <r>
      <rPr>
        <sz val="9"/>
        <rFont val="WenQuanYi Zen Hei"/>
        <family val="2"/>
      </rPr>
      <t xml:space="preserve">비용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비조업 공수 </t>
    </r>
    <r>
      <rPr>
        <sz val="9"/>
        <rFont val="맑은 고딕"/>
        <family val="0"/>
        <charset val="1"/>
      </rPr>
      <t xml:space="preserve">× </t>
    </r>
    <r>
      <rPr>
        <sz val="9"/>
        <rFont val="WenQuanYi Zen Hei"/>
        <family val="2"/>
      </rPr>
      <t xml:space="preserve">임률
  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효율 </t>
    </r>
    <r>
      <rPr>
        <sz val="9"/>
        <rFont val="맑은 고딕"/>
        <family val="0"/>
        <charset val="1"/>
      </rPr>
      <t xml:space="preserve">GAP </t>
    </r>
    <r>
      <rPr>
        <sz val="9"/>
        <rFont val="WenQuanYi Zen Hei"/>
        <family val="2"/>
      </rPr>
      <t xml:space="preserve">환산 </t>
    </r>
    <r>
      <rPr>
        <sz val="9"/>
        <rFont val="맑은 고딕"/>
        <family val="0"/>
        <charset val="1"/>
      </rPr>
      <t xml:space="preserve">= </t>
    </r>
    <r>
      <rPr>
        <sz val="9"/>
        <rFont val="WenQuanYi Zen Hei"/>
        <family val="2"/>
      </rPr>
      <t xml:space="preserve">월 공수 </t>
    </r>
    <r>
      <rPr>
        <sz val="9"/>
        <rFont val="맑은 고딕"/>
        <family val="0"/>
        <charset val="1"/>
      </rPr>
      <t xml:space="preserve">× (</t>
    </r>
    <r>
      <rPr>
        <sz val="9"/>
        <rFont val="WenQuanYi Zen Hei"/>
        <family val="2"/>
      </rPr>
      <t xml:space="preserve">목표효율 − 실효율</t>
    </r>
    <r>
      <rPr>
        <sz val="9"/>
        <rFont val="맑은 고딕"/>
        <family val="0"/>
        <charset val="1"/>
      </rPr>
      <t xml:space="preserve">)/100 × </t>
    </r>
    <r>
      <rPr>
        <sz val="9"/>
        <rFont val="WenQuanYi Zen Hei"/>
        <family val="2"/>
      </rPr>
      <t xml:space="preserve">임률
   공통 </t>
    </r>
    <r>
      <rPr>
        <sz val="9"/>
        <rFont val="맑은 고딕"/>
        <family val="0"/>
        <charset val="1"/>
      </rPr>
      <t xml:space="preserve">LOSS</t>
    </r>
    <r>
      <rPr>
        <sz val="9"/>
        <rFont val="WenQuanYi Zen Hei"/>
        <family val="2"/>
      </rPr>
      <t xml:space="preserve">를 </t>
    </r>
    <r>
      <rPr>
        <sz val="9"/>
        <rFont val="맑은 고딕"/>
        <family val="0"/>
        <charset val="1"/>
      </rPr>
      <t xml:space="preserve">50:50</t>
    </r>
    <r>
      <rPr>
        <sz val="9"/>
        <rFont val="WenQuanYi Zen Hei"/>
        <family val="2"/>
      </rPr>
      <t xml:space="preserve">으로 임의 배분하지 말고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발생 사유별로 귀책을 판정해</t>
    </r>
    <r>
      <rPr>
        <sz val="9"/>
        <rFont val="맑은 고딕"/>
        <family val="0"/>
        <charset val="1"/>
      </rPr>
      <t xml:space="preserve">.
4. </t>
    </r>
    <r>
      <rPr>
        <sz val="9"/>
        <rFont val="WenQuanYi Zen Hei"/>
        <family val="2"/>
      </rPr>
      <t xml:space="preserve">검증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귀책별 합계 공수가 원본 총 공수와 일치하는지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같은 사유코드가 서로 다른 귀책으로 분류된 건이 있는지 표본 </t>
    </r>
    <r>
      <rPr>
        <sz val="9"/>
        <rFont val="맑은 고딕"/>
        <family val="0"/>
        <charset val="1"/>
      </rPr>
      <t xml:space="preserve">50</t>
    </r>
    <r>
      <rPr>
        <sz val="9"/>
        <rFont val="WenQuanYi Zen Hei"/>
        <family val="2"/>
      </rPr>
      <t xml:space="preserve">행으로 역검증해</t>
    </r>
    <r>
      <rPr>
        <sz val="9"/>
        <rFont val="맑은 고딕"/>
        <family val="0"/>
        <charset val="1"/>
      </rPr>
      <t xml:space="preserve">.
5. </t>
    </r>
    <r>
      <rPr>
        <sz val="9"/>
        <rFont val="WenQuanYi Zen Hei"/>
        <family val="2"/>
      </rPr>
      <t xml:space="preserve">보류 비율이 </t>
    </r>
    <r>
      <rPr>
        <sz val="9"/>
        <rFont val="맑은 고딕"/>
        <family val="0"/>
        <charset val="1"/>
      </rPr>
      <t xml:space="preserve">10%</t>
    </r>
    <r>
      <rPr>
        <sz val="9"/>
        <rFont val="WenQuanYi Zen Hei"/>
        <family val="2"/>
      </rPr>
      <t xml:space="preserve">를 넘거나 이중 분류가 하나라도 나오면 저장하지 말고 멈춰서 보고해</t>
    </r>
    <r>
      <rPr>
        <sz val="9"/>
        <rFont val="맑은 고딕"/>
        <family val="0"/>
        <charset val="1"/>
      </rPr>
      <t xml:space="preserve">.
6. </t>
    </r>
    <r>
      <rPr>
        <sz val="9"/>
        <rFont val="WenQuanYi Zen Hei"/>
        <family val="2"/>
      </rPr>
      <t xml:space="preserve">통과하면 월간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리포트를 새 파일로 저장하고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보류건은 내가 판정할 목록으로 따로 만들어줘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판단 기준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보류 </t>
    </r>
    <r>
      <rPr>
        <sz val="9"/>
        <rFont val="맑은 고딕"/>
        <family val="0"/>
        <charset val="1"/>
      </rPr>
      <t xml:space="preserve">10% </t>
    </r>
    <r>
      <rPr>
        <sz val="9"/>
        <rFont val="WenQuanYi Zen Hei"/>
        <family val="2"/>
      </rPr>
      <t xml:space="preserve">이하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이중 분류 </t>
    </r>
    <r>
      <rPr>
        <sz val="9"/>
        <rFont val="맑은 고딕"/>
        <family val="0"/>
        <charset val="1"/>
      </rPr>
      <t xml:space="preserve">0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두 축이 각각 산출됐으면 성공</t>
    </r>
    <r>
      <rPr>
        <sz val="9"/>
        <rFont val="맑은 고딕"/>
        <family val="0"/>
        <charset val="1"/>
      </rPr>
      <t xml:space="preserve">.
[</t>
    </r>
    <r>
      <rPr>
        <sz val="9"/>
        <rFont val="WenQuanYi Zen Hei"/>
        <family val="2"/>
      </rPr>
      <t xml:space="preserve">제약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분류 룰은 네가 임의로 바꾸지 마 — 룰 수정은 내가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원청 제출본은 내 승인 전에 만들지 말고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분류 로직과 카테고리 정의서 내용은 어떤 산출물에도 포함하지 마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빠진 정보가 있으면 먼저 물어봐줘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</si>
  <si>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맑은 고딕"/>
        <family val="0"/>
        <charset val="1"/>
      </rPr>
      <t xml:space="preserve">STEP 4 — </t>
    </r>
    <r>
      <rPr>
        <b val="true"/>
        <sz val="10"/>
        <color rgb="FF1F3864"/>
        <rFont val="WenQuanYi Zen Hei"/>
        <family val="2"/>
      </rPr>
      <t xml:space="preserve">생성 결과 검증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교재 </t>
    </r>
    <r>
      <rPr>
        <b val="true"/>
        <sz val="10"/>
        <color rgb="FF1F3864"/>
        <rFont val="맑은 고딕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장 </t>
    </r>
    <r>
      <rPr>
        <b val="true"/>
        <sz val="10"/>
        <color rgb="FF1F3864"/>
        <rFont val="맑은 고딕"/>
        <family val="0"/>
        <charset val="1"/>
      </rPr>
      <t xml:space="preserve">(3))</t>
    </r>
  </si>
  <si>
    <r>
      <rPr>
        <sz val="9"/>
        <rFont val="WenQuanYi Zen Hei"/>
        <family val="2"/>
      </rPr>
      <t xml:space="preserve">방금 만든 서브에이전트</t>
    </r>
    <r>
      <rPr>
        <sz val="9"/>
        <rFont val="맑은 고딕"/>
        <family val="0"/>
        <charset val="1"/>
      </rPr>
      <t xml:space="preserve">·Skill·</t>
    </r>
    <r>
      <rPr>
        <sz val="9"/>
        <rFont val="WenQuanYi Zen Hei"/>
        <family val="2"/>
      </rPr>
      <t xml:space="preserve">명령어 파일이 각각 무엇을 하는지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어떤 도구를 쓸 수 있는지 표로 정리해줘</t>
    </r>
    <r>
      <rPr>
        <sz val="9"/>
        <rFont val="맑은 고딕"/>
        <family val="0"/>
        <charset val="1"/>
      </rPr>
      <t xml:space="preserve">.
</t>
    </r>
    <r>
      <rPr>
        <sz val="9"/>
        <rFont val="WenQuanYi Zen Hei"/>
        <family val="2"/>
      </rPr>
      <t xml:space="preserve">파일 삭제나 외부 전송처럼 되돌리기 어려운 동작이 포함돼 있으면 따로 표시해줘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</si>
  <si>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맑은 고딕"/>
        <family val="0"/>
        <charset val="1"/>
      </rPr>
      <t xml:space="preserve">STEP 5 — </t>
    </r>
    <r>
      <rPr>
        <b val="true"/>
        <sz val="10"/>
        <color rgb="FF1F3864"/>
        <rFont val="WenQuanYi Zen Hei"/>
        <family val="2"/>
      </rPr>
      <t xml:space="preserve">실행 후 수정 요청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교재 </t>
    </r>
    <r>
      <rPr>
        <b val="true"/>
        <sz val="10"/>
        <color rgb="FF1F3864"/>
        <rFont val="맑은 고딕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장 </t>
    </r>
    <r>
      <rPr>
        <b val="true"/>
        <sz val="10"/>
        <color rgb="FF1F3864"/>
        <rFont val="맑은 고딕"/>
        <family val="0"/>
        <charset val="1"/>
      </rPr>
      <t xml:space="preserve">(4))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</si>
  <si>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) 4</t>
    </r>
    <r>
      <rPr>
        <sz val="9"/>
        <rFont val="WenQuanYi Zen Hei"/>
        <family val="2"/>
      </rPr>
      <t xml:space="preserve">단계 검증에서 </t>
    </r>
    <r>
      <rPr>
        <sz val="9"/>
        <rFont val="맑은 고딕"/>
        <family val="0"/>
        <charset val="1"/>
      </rPr>
      <t xml:space="preserve">LOSS </t>
    </r>
    <r>
      <rPr>
        <sz val="9"/>
        <rFont val="WenQuanYi Zen Hei"/>
        <family val="2"/>
      </rPr>
      <t xml:space="preserve">공수 합계 대조를 빠뜨렸어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 부분만 고쳐줘 — 전체를 다시 만들지는 마</t>
    </r>
    <r>
      <rPr>
        <sz val="9"/>
        <rFont val="맑은 고딕"/>
        <family val="0"/>
        <charset val="1"/>
      </rPr>
      <t xml:space="preserve">.
※ </t>
    </r>
    <r>
      <rPr>
        <sz val="9"/>
        <rFont val="WenQuanYi Zen Hei"/>
        <family val="2"/>
      </rPr>
      <t xml:space="preserve">같은 문제가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회 이상 반복되면 결과를 고치지 말고 구조를 다시 나누거나 합칠 것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</si>
  <si>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5"/>
        <color rgb="FF1F3864"/>
        <rFont val="WenQuanYi Zen Hei"/>
        <family val="2"/>
      </rPr>
      <t xml:space="preserve">기준값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가정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출처</t>
    </r>
  </si>
  <si>
    <r>
      <rPr>
        <sz val="9"/>
        <color rgb="FF595959"/>
        <rFont val="WenQuanYi Zen Hei"/>
        <family val="2"/>
      </rPr>
      <t xml:space="preserve">노란색 셀은 실제 값으로 갱신할 입력 항목이다</t>
    </r>
    <r>
      <rPr>
        <sz val="9"/>
        <color rgb="FF595959"/>
        <rFont val="맑은 고딕"/>
        <family val="0"/>
        <charset val="1"/>
      </rPr>
      <t xml:space="preserve">. 02 </t>
    </r>
    <r>
      <rPr>
        <sz val="9"/>
        <color rgb="FF595959"/>
        <rFont val="WenQuanYi Zen Hei"/>
        <family val="2"/>
      </rPr>
      <t xml:space="preserve">시트의 금액 환산은 </t>
    </r>
    <r>
      <rPr>
        <sz val="9"/>
        <color rgb="FF595959"/>
        <rFont val="맑은 고딕"/>
        <family val="0"/>
        <charset val="1"/>
      </rPr>
      <t xml:space="preserve">B5(</t>
    </r>
    <r>
      <rPr>
        <sz val="9"/>
        <color rgb="FF595959"/>
        <rFont val="WenQuanYi Zen Hei"/>
        <family val="2"/>
      </rPr>
      <t xml:space="preserve">임률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를 참조한다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</si>
  <si>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항목</t>
  </si>
  <si>
    <t xml:space="preserve">값</t>
  </si>
  <si>
    <t xml:space="preserve">단위</t>
  </si>
  <si>
    <r>
      <rPr>
        <b val="true"/>
        <sz val="10"/>
        <color rgb="FFFFFFFF"/>
        <rFont val="WenQuanYi Zen Hei"/>
        <family val="2"/>
      </rPr>
      <t xml:space="preserve">출처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비고</t>
    </r>
  </si>
  <si>
    <r>
      <rPr>
        <b val="true"/>
        <sz val="10"/>
        <rFont val="WenQuanYi Zen Hei"/>
        <family val="2"/>
      </rPr>
      <t xml:space="preserve">임률 </t>
    </r>
    <r>
      <rPr>
        <b val="true"/>
        <sz val="10"/>
        <rFont val="맑은 고딕"/>
        <family val="0"/>
        <charset val="1"/>
      </rPr>
      <t xml:space="preserve">(AP </t>
    </r>
    <r>
      <rPr>
        <b val="true"/>
        <sz val="10"/>
        <rFont val="WenQuanYi Zen Hei"/>
        <family val="2"/>
      </rPr>
      <t xml:space="preserve">대전 </t>
    </r>
    <r>
      <rPr>
        <b val="true"/>
        <sz val="10"/>
        <rFont val="맑은 고딕"/>
        <family val="0"/>
        <charset val="1"/>
      </rPr>
      <t xml:space="preserve">BY26)</t>
    </r>
  </si>
  <si>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M·H</t>
    </r>
  </si>
  <si>
    <r>
      <rPr>
        <sz val="9"/>
        <color rgb="FF404040"/>
        <rFont val="WenQuanYi Zen Hei"/>
        <family val="2"/>
      </rPr>
      <t xml:space="preserve">사용자 제공 운영 기준값</t>
    </r>
    <r>
      <rPr>
        <sz val="9"/>
        <color rgb="FF404040"/>
        <rFont val="맑은 고딕"/>
        <family val="0"/>
        <charset val="1"/>
      </rPr>
      <t xml:space="preserve">. BY27 </t>
    </r>
    <r>
      <rPr>
        <sz val="9"/>
        <color rgb="FF404040"/>
        <rFont val="WenQuanYi Zen Hei"/>
        <family val="2"/>
      </rPr>
      <t xml:space="preserve">갱신 시 이 셀만 수정하면 </t>
    </r>
    <r>
      <rPr>
        <sz val="9"/>
        <color rgb="FF404040"/>
        <rFont val="맑은 고딕"/>
        <family val="0"/>
        <charset val="1"/>
      </rPr>
      <t xml:space="preserve">02 </t>
    </r>
    <r>
      <rPr>
        <sz val="9"/>
        <color rgb="FF404040"/>
        <rFont val="WenQuanYi Zen Hei"/>
        <family val="2"/>
      </rPr>
      <t xml:space="preserve">시트 금액이 재계산된다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</si>
  <si>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운영 인원 — </t>
    </r>
    <r>
      <rPr>
        <b val="true"/>
        <sz val="10"/>
        <rFont val="맑은 고딕"/>
        <family val="0"/>
        <charset val="1"/>
      </rPr>
      <t xml:space="preserve">AP </t>
    </r>
    <r>
      <rPr>
        <b val="true"/>
        <sz val="10"/>
        <rFont val="WenQuanYi Zen Hei"/>
        <family val="2"/>
      </rPr>
      <t xml:space="preserve">생산도급</t>
    </r>
  </si>
  <si>
    <t xml:space="preserve">명</t>
  </si>
  <si>
    <r>
      <rPr>
        <sz val="9"/>
        <color rgb="FF404040"/>
        <rFont val="WenQuanYi Zen Hei"/>
        <family val="2"/>
      </rPr>
      <t xml:space="preserve">사용자 제공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결원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증원 시 갱신되는 변동값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</si>
  <si>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운영 인원 — </t>
    </r>
    <r>
      <rPr>
        <b val="true"/>
        <sz val="10"/>
        <rFont val="맑은 고딕"/>
        <family val="0"/>
        <charset val="1"/>
      </rPr>
      <t xml:space="preserve">AP </t>
    </r>
    <r>
      <rPr>
        <b val="true"/>
        <sz val="10"/>
        <rFont val="WenQuanYi Zen Hei"/>
        <family val="2"/>
      </rPr>
      <t xml:space="preserve">업무도급</t>
    </r>
  </si>
  <si>
    <r>
      <rPr>
        <sz val="9"/>
        <color rgb="FF404040"/>
        <rFont val="WenQuanYi Zen Hei"/>
        <family val="2"/>
      </rPr>
      <t xml:space="preserve">사용자 제공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</si>
  <si>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운영 인원 — 코스비전 생산도급</t>
  </si>
  <si>
    <t xml:space="preserve">운영 인원 — 코스비전 업무도급</t>
  </si>
  <si>
    <t xml:space="preserve">운영 인원 합계</t>
  </si>
  <si>
    <r>
      <rPr>
        <sz val="9"/>
        <color rgb="FF404040"/>
        <rFont val="맑은 고딕"/>
        <family val="0"/>
        <charset val="1"/>
      </rPr>
      <t xml:space="preserve">B6:B9 </t>
    </r>
    <r>
      <rPr>
        <sz val="9"/>
        <color rgb="FF404040"/>
        <rFont val="WenQuanYi Zen Hei"/>
        <family val="2"/>
      </rPr>
      <t xml:space="preserve">합계 수식</t>
    </r>
    <r>
      <rPr>
        <sz val="9"/>
        <color rgb="FF404040"/>
        <rFont val="맑은 고딕"/>
        <family val="0"/>
        <charset val="1"/>
      </rPr>
      <t xml:space="preserve">. 4</t>
    </r>
    <r>
      <rPr>
        <sz val="9"/>
        <color rgb="FF404040"/>
        <rFont val="WenQuanYi Zen Hei"/>
        <family val="2"/>
      </rPr>
      <t xml:space="preserve">개 계약 합산 인원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</si>
  <si>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BY26 </t>
    </r>
    <r>
      <rPr>
        <b val="true"/>
        <sz val="10"/>
        <rFont val="WenQuanYi Zen Hei"/>
        <family val="2"/>
      </rPr>
      <t xml:space="preserve">단가 인상 — 생산도급</t>
    </r>
  </si>
  <si>
    <t xml:space="preserve">%</t>
  </si>
  <si>
    <r>
      <rPr>
        <sz val="9"/>
        <color rgb="FF404040"/>
        <rFont val="맑은 고딕"/>
        <family val="0"/>
        <charset val="1"/>
      </rPr>
      <t xml:space="preserve">AP </t>
    </r>
    <r>
      <rPr>
        <sz val="9"/>
        <color rgb="FF404040"/>
        <rFont val="WenQuanYi Zen Hei"/>
        <family val="2"/>
      </rPr>
      <t xml:space="preserve">기준 실적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코스비전에 그대로 적용하지 말 것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</si>
  <si>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BY26 </t>
    </r>
    <r>
      <rPr>
        <b val="true"/>
        <sz val="10"/>
        <rFont val="WenQuanYi Zen Hei"/>
        <family val="2"/>
      </rPr>
      <t xml:space="preserve">단가 인상 — 업무도급</t>
    </r>
  </si>
  <si>
    <r>
      <rPr>
        <sz val="9"/>
        <color rgb="FF404040"/>
        <rFont val="맑은 고딕"/>
        <family val="0"/>
        <charset val="1"/>
      </rPr>
      <t xml:space="preserve">AP </t>
    </r>
    <r>
      <rPr>
        <sz val="9"/>
        <color rgb="FF404040"/>
        <rFont val="WenQuanYi Zen Hei"/>
        <family val="2"/>
      </rPr>
      <t xml:space="preserve">기준 실적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</si>
  <si>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BY26 AP </t>
    </r>
    <r>
      <rPr>
        <b val="true"/>
        <sz val="10"/>
        <rFont val="WenQuanYi Zen Hei"/>
        <family val="2"/>
      </rPr>
      <t xml:space="preserve">귀책 </t>
    </r>
    <r>
      <rPr>
        <b val="true"/>
        <sz val="10"/>
        <rFont val="맑은 고딕"/>
        <family val="0"/>
        <charset val="1"/>
      </rPr>
      <t xml:space="preserve">LOSS </t>
    </r>
    <r>
      <rPr>
        <b val="true"/>
        <sz val="10"/>
        <rFont val="WenQuanYi Zen Hei"/>
        <family val="2"/>
      </rPr>
      <t xml:space="preserve">비율</t>
    </r>
  </si>
  <si>
    <r>
      <rPr>
        <sz val="9"/>
        <color rgb="FF404040"/>
        <rFont val="맑은 고딕"/>
        <family val="0"/>
        <charset val="1"/>
      </rPr>
      <t xml:space="preserve">MES 8</t>
    </r>
    <r>
      <rPr>
        <sz val="9"/>
        <color rgb="FF404040"/>
        <rFont val="WenQuanYi Zen Hei"/>
        <family val="2"/>
      </rPr>
      <t xml:space="preserve">개월 귀속 분석 결과</t>
    </r>
    <r>
      <rPr>
        <sz val="9"/>
        <color rgb="FF404040"/>
        <rFont val="맑은 고딕"/>
        <family val="0"/>
        <charset val="1"/>
      </rPr>
      <t xml:space="preserve">. UC-02 </t>
    </r>
    <r>
      <rPr>
        <sz val="9"/>
        <color rgb="FF404040"/>
        <rFont val="WenQuanYi Zen Hei"/>
        <family val="2"/>
      </rPr>
      <t xml:space="preserve">파이프라인이 이 산출을 자동화 대상으로 삼는다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</si>
  <si>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가정 </t>
    </r>
    <r>
      <rPr>
        <sz val="9"/>
        <color rgb="FF404040"/>
        <rFont val="맑은 고딕"/>
        <family val="0"/>
        <charset val="1"/>
      </rPr>
      <t xml:space="preserve">1 — </t>
    </r>
    <r>
      <rPr>
        <sz val="9"/>
        <color rgb="FF404040"/>
        <rFont val="WenQuanYi Zen Hei"/>
        <family val="2"/>
      </rPr>
      <t xml:space="preserve">절감공수는 최근 </t>
    </r>
    <r>
      <rPr>
        <sz val="9"/>
        <color rgb="FF404040"/>
        <rFont val="맑은 고딕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개월 담당자 실측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추정 기준이다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정식 착수 전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주간 실측으로 베이스라인을 재확정한다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</si>
  <si>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가정 </t>
    </r>
    <r>
      <rPr>
        <sz val="9"/>
        <color rgb="FF404040"/>
        <rFont val="맑은 고딕"/>
        <family val="0"/>
        <charset val="1"/>
      </rPr>
      <t xml:space="preserve">2 — </t>
    </r>
    <r>
      <rPr>
        <sz val="9"/>
        <color rgb="FF404040"/>
        <rFont val="WenQuanYi Zen Hei"/>
        <family val="2"/>
      </rPr>
      <t xml:space="preserve">관리직 공수를 도급 임률</t>
    </r>
    <r>
      <rPr>
        <sz val="9"/>
        <color rgb="FF404040"/>
        <rFont val="맑은 고딕"/>
        <family val="0"/>
        <charset val="1"/>
      </rPr>
      <t xml:space="preserve">(35,121</t>
    </r>
    <r>
      <rPr>
        <sz val="9"/>
        <color rgb="FF404040"/>
        <rFont val="WenQuanYi Zen Hei"/>
        <family val="2"/>
      </rPr>
      <t xml:space="preserve">원</t>
    </r>
    <r>
      <rPr>
        <sz val="9"/>
        <color rgb="FF404040"/>
        <rFont val="맑은 고딕"/>
        <family val="0"/>
        <charset val="1"/>
      </rPr>
      <t xml:space="preserve">/M·H)</t>
    </r>
    <r>
      <rPr>
        <sz val="9"/>
        <color rgb="FF404040"/>
        <rFont val="WenQuanYi Zen Hei"/>
        <family val="2"/>
      </rPr>
      <t xml:space="preserve">로 준용해 환산했다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관리직 실제 인건비 단가와 다르며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보수적 추정치로 사용한다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</si>
  <si>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가정 </t>
    </r>
    <r>
      <rPr>
        <sz val="9"/>
        <color rgb="FF404040"/>
        <rFont val="맑은 고딕"/>
        <family val="0"/>
        <charset val="1"/>
      </rPr>
      <t xml:space="preserve">3 — </t>
    </r>
    <r>
      <rPr>
        <sz val="9"/>
        <color rgb="FF404040"/>
        <rFont val="WenQuanYi Zen Hei"/>
        <family val="2"/>
      </rPr>
      <t xml:space="preserve">절감액은 인건비 절감이 아니라 관리공수 재배치 가치다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임원 보고 시 이 전제를 함께 제시한다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</si>
  <si>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가정 </t>
    </r>
    <r>
      <rPr>
        <sz val="9"/>
        <color rgb="FF404040"/>
        <rFont val="맑은 고딕"/>
        <family val="0"/>
        <charset val="1"/>
      </rPr>
      <t xml:space="preserve">4 — </t>
    </r>
    <r>
      <rPr>
        <sz val="9"/>
        <color rgb="FF404040"/>
        <rFont val="WenQuanYi Zen Hei"/>
        <family val="2"/>
      </rPr>
      <t xml:space="preserve">고객별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계약유형별 분리 집계가 기본이다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두 고객을 합산할 때는 반드시 출처를 명시한다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</si>
  <si>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가정 </t>
    </r>
    <r>
      <rPr>
        <sz val="9"/>
        <color rgb="FF404040"/>
        <rFont val="맑은 고딕"/>
        <family val="0"/>
        <charset val="1"/>
      </rPr>
      <t xml:space="preserve">5 — </t>
    </r>
    <r>
      <rPr>
        <sz val="9"/>
        <color rgb="FF404040"/>
        <rFont val="WenQuanYi Zen Hei"/>
        <family val="2"/>
      </rPr>
      <t xml:space="preserve">공통 </t>
    </r>
    <r>
      <rPr>
        <sz val="9"/>
        <color rgb="FF404040"/>
        <rFont val="맑은 고딕"/>
        <family val="0"/>
        <charset val="1"/>
      </rPr>
      <t xml:space="preserve">LOSS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맑은 고딕"/>
        <family val="0"/>
        <charset val="1"/>
      </rPr>
      <t xml:space="preserve">50:50 </t>
    </r>
    <r>
      <rPr>
        <sz val="9"/>
        <color rgb="FF404040"/>
        <rFont val="WenQuanYi Zen Hei"/>
        <family val="2"/>
      </rPr>
      <t xml:space="preserve">일괄 배분하지 않는다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자재 미입고</t>
    </r>
    <r>
      <rPr>
        <sz val="9"/>
        <color rgb="FF404040"/>
        <rFont val="맑은 고딕"/>
        <family val="0"/>
        <charset val="1"/>
      </rPr>
      <t xml:space="preserve">=</t>
    </r>
    <r>
      <rPr>
        <sz val="9"/>
        <color rgb="FF404040"/>
        <rFont val="WenQuanYi Zen Hei"/>
        <family val="2"/>
      </rPr>
      <t xml:space="preserve">원청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휴식 미복귀</t>
    </r>
    <r>
      <rPr>
        <sz val="9"/>
        <color rgb="FF404040"/>
        <rFont val="맑은 고딕"/>
        <family val="0"/>
        <charset val="1"/>
      </rPr>
      <t xml:space="preserve">=</t>
    </r>
    <r>
      <rPr>
        <sz val="9"/>
        <color rgb="FF404040"/>
        <rFont val="WenQuanYi Zen Hei"/>
        <family val="2"/>
      </rPr>
      <t xml:space="preserve">도급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설비 워밍업</t>
    </r>
    <r>
      <rPr>
        <sz val="9"/>
        <color rgb="FF404040"/>
        <rFont val="맑은 고딕"/>
        <family val="0"/>
        <charset val="1"/>
      </rPr>
      <t xml:space="preserve">=</t>
    </r>
    <r>
      <rPr>
        <sz val="9"/>
        <color rgb="FF404040"/>
        <rFont val="WenQuanYi Zen Hei"/>
        <family val="2"/>
      </rPr>
      <t xml:space="preserve">공통처럼 발생 사유별로 귀책이 다르며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일괄 배분은 협상 테이블에서 깨진다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</si>
  <si>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리스크 — 노무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개인 근태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점검 지적사항을 개인 단위로 리포팅하면 도급 인력에 대한 직접 지휘 소지가 생긴다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전 산출물은 공정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항목 단위로만 집계한다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</si>
  <si>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리스크 — 정보보안</t>
    </r>
    <r>
      <rPr>
        <sz val="9"/>
        <color rgb="FF404040"/>
        <rFont val="맑은 고딕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원청 자료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생산계획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물량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점검 통지문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와 개인정보는 사내 처리 한정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외부 전송은 </t>
    </r>
    <r>
      <rPr>
        <sz val="9"/>
        <color rgb="FF404040"/>
        <rFont val="맑은 고딕"/>
        <family val="0"/>
        <charset val="1"/>
      </rPr>
      <t xml:space="preserve">Hook</t>
    </r>
    <r>
      <rPr>
        <sz val="9"/>
        <color rgb="FF404040"/>
        <rFont val="WenQuanYi Zen Hei"/>
        <family val="2"/>
      </rPr>
      <t xml:space="preserve">으로 차단한다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</si>
  <si>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리스크 — 자산</t>
    </r>
    <r>
      <rPr>
        <sz val="9"/>
        <color rgb="FF404040"/>
        <rFont val="맑은 고딕"/>
        <family val="0"/>
        <charset val="1"/>
      </rPr>
      <t xml:space="preserve">: LOSS </t>
    </r>
    <r>
      <rPr>
        <sz val="9"/>
        <color rgb="FF404040"/>
        <rFont val="WenQuanYi Zen Hei"/>
        <family val="2"/>
      </rPr>
      <t xml:space="preserve">귀책 분류 로직과 카테고리 정의서는 협상 결정 자산이다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산출물에는 결과 수치만 담고 로직은 포함하지 않는다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</si>
  <si>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■ 실행 난이도 — </t>
    </r>
    <r>
      <rPr>
        <sz val="9"/>
        <color rgb="FF404040"/>
        <rFont val="맑은 고딕"/>
        <family val="0"/>
        <charset val="1"/>
      </rPr>
      <t xml:space="preserve">Wave 1(UC-03·04) Low / Wave 2(UC-01·02) Mid / Wave 3(UC-05·06·07·08) Mid / Wave 4(UC-09) High.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</si>
</sst>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"/>
    <numFmt numFmtId="167" formatCode="#,##0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WenQuanYi Zen Hei"/>
      <family val="2"/>
    </font>
    <font>
      <b val="true"/>
      <sz val="15"/>
      <color rgb="FF1F3864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595959"/>
      <name val="WenQuanYi Zen Hei"/>
      <family val="2"/>
    </font>
    <font>
      <b val="true"/>
      <sz val="10"/>
      <color rgb="FF1F3864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9"/>
      <color rgb="FF1F3864"/>
      <name val="맑은 고딕"/>
      <family val="0"/>
      <charset val="1"/>
    </font>
    <font>
      <sz val="9"/>
      <name val="WenQuanYi Zen Hei"/>
      <family val="2"/>
    </font>
    <font>
      <sz val="9"/>
      <name val="맑은 고딕"/>
      <family val="0"/>
      <charset val="1"/>
    </font>
    <font>
      <sz val="10"/>
      <name val="Arial"/>
      <family val="2"/>
    </font>
    <font>
      <sz val="10"/>
      <color rgb="FF0000FF"/>
      <name val="맑은 고딕"/>
      <family val="0"/>
      <charset val="1"/>
    </font>
    <font>
      <sz val="9"/>
      <color rgb="FF404040"/>
      <name val="WenQuanYi Zen Hei"/>
      <family val="2"/>
    </font>
    <font>
      <sz val="9"/>
      <color rgb="FF404040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b val="true"/>
      <sz val="12"/>
      <color rgb="FFFFFFFF"/>
      <name val="WenQuanYi Zen Hei"/>
      <family val="2"/>
    </font>
    <font>
      <b val="true"/>
      <sz val="9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1F3864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5C8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7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3" t="s">
        <v>4</v>
      </c>
      <c r="B5" s="5" t="s">
        <v>5</v>
      </c>
      <c r="C5" s="5"/>
      <c r="D5" s="5"/>
      <c r="E5" s="5"/>
      <c r="F5" s="5"/>
      <c r="G5" s="5"/>
      <c r="H5" s="5"/>
    </row>
    <row r="6" customFormat="false" ht="21.7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  <c r="G8" s="4"/>
      <c r="H8" s="4"/>
    </row>
    <row r="10" customFormat="false" ht="45.75" hidden="false" customHeight="true" outlineLevel="0" collapsed="false">
      <c r="A10" s="3" t="s">
        <v>12</v>
      </c>
      <c r="B10" s="5" t="s">
        <v>13</v>
      </c>
      <c r="C10" s="5"/>
      <c r="D10" s="5"/>
      <c r="E10" s="5"/>
      <c r="F10" s="5"/>
      <c r="G10" s="5"/>
      <c r="H10" s="5"/>
    </row>
    <row r="11" customFormat="false" ht="45.75" hidden="false" customHeight="true" outlineLevel="0" collapsed="false">
      <c r="A11" s="3" t="s">
        <v>14</v>
      </c>
      <c r="B11" s="5" t="s">
        <v>15</v>
      </c>
      <c r="C11" s="5"/>
      <c r="D11" s="5"/>
      <c r="E11" s="5"/>
      <c r="F11" s="5"/>
      <c r="G11" s="5"/>
      <c r="H11" s="5"/>
    </row>
    <row r="12" customFormat="false" ht="45.75" hidden="false" customHeight="true" outlineLevel="0" collapsed="false">
      <c r="A12" s="3" t="s">
        <v>16</v>
      </c>
      <c r="B12" s="5" t="s">
        <v>17</v>
      </c>
      <c r="C12" s="5"/>
      <c r="D12" s="5"/>
      <c r="E12" s="5"/>
      <c r="F12" s="5"/>
      <c r="G12" s="5"/>
      <c r="H12" s="5"/>
    </row>
    <row r="14" customFormat="false" ht="45.75" hidden="false" customHeight="true" outlineLevel="0" collapsed="false">
      <c r="A14" s="3" t="s">
        <v>18</v>
      </c>
      <c r="B14" s="4" t="s">
        <v>19</v>
      </c>
      <c r="C14" s="4"/>
      <c r="D14" s="4"/>
      <c r="E14" s="4"/>
      <c r="F14" s="4"/>
      <c r="G14" s="4"/>
      <c r="H14" s="4"/>
    </row>
    <row r="15" customFormat="false" ht="45.75" hidden="false" customHeight="true" outlineLevel="0" collapsed="false">
      <c r="A15" s="3" t="s">
        <v>20</v>
      </c>
      <c r="B15" s="5" t="s">
        <v>21</v>
      </c>
      <c r="C15" s="5"/>
      <c r="D15" s="5"/>
      <c r="E15" s="5"/>
      <c r="F15" s="5"/>
      <c r="G15" s="5"/>
      <c r="H15" s="5"/>
    </row>
    <row r="17" customFormat="false" ht="21.75" hidden="false" customHeight="true" outlineLevel="0" collapsed="false">
      <c r="A17" s="3" t="s">
        <v>22</v>
      </c>
      <c r="B17" s="4" t="s">
        <v>23</v>
      </c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3" t="s">
        <v>24</v>
      </c>
      <c r="B18" s="5" t="s">
        <v>25</v>
      </c>
      <c r="C18" s="5"/>
      <c r="D18" s="5"/>
      <c r="E18" s="5"/>
      <c r="F18" s="5"/>
      <c r="G18" s="5"/>
      <c r="H18" s="5"/>
    </row>
  </sheetData>
  <mergeCells count="14">
    <mergeCell ref="A1:H1"/>
    <mergeCell ref="A2:H2"/>
    <mergeCell ref="B4:H4"/>
    <mergeCell ref="B5:H5"/>
    <mergeCell ref="B6:H6"/>
    <mergeCell ref="B7:H7"/>
    <mergeCell ref="B8:H8"/>
    <mergeCell ref="B10:H10"/>
    <mergeCell ref="B11:H11"/>
    <mergeCell ref="B12:H12"/>
    <mergeCell ref="B14:H14"/>
    <mergeCell ref="B15:H15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6"/>
  </cols>
  <sheetData>
    <row r="1" customFormat="false" ht="24" hidden="false" customHeight="true" outlineLevel="0" collapsed="false">
      <c r="A1" s="6" t="s">
        <v>26</v>
      </c>
      <c r="B1" s="6"/>
      <c r="C1" s="6"/>
      <c r="D1" s="6"/>
      <c r="E1" s="6"/>
      <c r="F1" s="6"/>
      <c r="G1" s="6"/>
      <c r="H1" s="6"/>
    </row>
    <row r="2" customFormat="false" ht="15.75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</row>
    <row r="4" customFormat="false" ht="39.75" hidden="false" customHeight="true" outlineLevel="0" collapsed="false">
      <c r="A4" s="8" t="s">
        <v>28</v>
      </c>
      <c r="B4" s="8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9" t="s">
        <v>40</v>
      </c>
      <c r="N4" s="9" t="s">
        <v>41</v>
      </c>
    </row>
    <row r="5" customFormat="false" ht="150" hidden="false" customHeight="true" outlineLevel="0" collapsed="false">
      <c r="A5" s="10" t="s">
        <v>42</v>
      </c>
      <c r="B5" s="11" t="s">
        <v>43</v>
      </c>
      <c r="C5" s="12" t="s">
        <v>44</v>
      </c>
      <c r="D5" s="11" t="s">
        <v>45</v>
      </c>
      <c r="E5" s="13" t="s">
        <v>46</v>
      </c>
      <c r="F5" s="11" t="s">
        <v>47</v>
      </c>
      <c r="G5" s="14" t="s">
        <v>48</v>
      </c>
      <c r="H5" s="11" t="s">
        <v>49</v>
      </c>
      <c r="I5" s="13" t="s">
        <v>50</v>
      </c>
      <c r="J5" s="11" t="s">
        <v>51</v>
      </c>
      <c r="K5" s="11" t="s">
        <v>52</v>
      </c>
      <c r="L5" s="12" t="s">
        <v>53</v>
      </c>
      <c r="M5" s="11" t="s">
        <v>54</v>
      </c>
      <c r="N5" s="12" t="s">
        <v>55</v>
      </c>
    </row>
    <row r="6" customFormat="false" ht="150" hidden="false" customHeight="true" outlineLevel="0" collapsed="false">
      <c r="A6" s="10" t="s">
        <v>56</v>
      </c>
      <c r="B6" s="13" t="s">
        <v>57</v>
      </c>
      <c r="C6" s="12" t="s">
        <v>58</v>
      </c>
      <c r="D6" s="13" t="s">
        <v>59</v>
      </c>
      <c r="E6" s="11" t="s">
        <v>60</v>
      </c>
      <c r="F6" s="11" t="s">
        <v>61</v>
      </c>
      <c r="G6" s="14" t="s">
        <v>48</v>
      </c>
      <c r="H6" s="13" t="s">
        <v>62</v>
      </c>
      <c r="I6" s="13" t="s">
        <v>63</v>
      </c>
      <c r="J6" s="11" t="s">
        <v>64</v>
      </c>
      <c r="K6" s="11" t="s">
        <v>65</v>
      </c>
      <c r="L6" s="12" t="s">
        <v>66</v>
      </c>
      <c r="M6" s="11" t="s">
        <v>67</v>
      </c>
      <c r="N6" s="12" t="s">
        <v>68</v>
      </c>
    </row>
    <row r="7" customFormat="false" ht="150" hidden="false" customHeight="true" outlineLevel="0" collapsed="false">
      <c r="A7" s="10" t="s">
        <v>69</v>
      </c>
      <c r="B7" s="11" t="s">
        <v>70</v>
      </c>
      <c r="C7" s="12" t="s">
        <v>71</v>
      </c>
      <c r="D7" s="11" t="s">
        <v>72</v>
      </c>
      <c r="E7" s="11" t="s">
        <v>73</v>
      </c>
      <c r="F7" s="11" t="s">
        <v>74</v>
      </c>
      <c r="G7" s="14" t="s">
        <v>75</v>
      </c>
      <c r="H7" s="11" t="s">
        <v>76</v>
      </c>
      <c r="I7" s="13" t="s">
        <v>77</v>
      </c>
      <c r="J7" s="11" t="s">
        <v>78</v>
      </c>
      <c r="K7" s="11" t="s">
        <v>79</v>
      </c>
      <c r="L7" s="12" t="s">
        <v>80</v>
      </c>
      <c r="M7" s="11" t="s">
        <v>81</v>
      </c>
      <c r="N7" s="12" t="s">
        <v>82</v>
      </c>
    </row>
    <row r="8" customFormat="false" ht="150" hidden="false" customHeight="true" outlineLevel="0" collapsed="false">
      <c r="A8" s="10" t="s">
        <v>83</v>
      </c>
      <c r="B8" s="11" t="s">
        <v>84</v>
      </c>
      <c r="C8" s="12" t="s">
        <v>85</v>
      </c>
      <c r="D8" s="11" t="s">
        <v>86</v>
      </c>
      <c r="E8" s="13" t="s">
        <v>87</v>
      </c>
      <c r="F8" s="11" t="s">
        <v>88</v>
      </c>
      <c r="G8" s="14" t="s">
        <v>89</v>
      </c>
      <c r="H8" s="11" t="s">
        <v>90</v>
      </c>
      <c r="I8" s="13" t="s">
        <v>91</v>
      </c>
      <c r="J8" s="11" t="s">
        <v>92</v>
      </c>
      <c r="K8" s="13" t="s">
        <v>93</v>
      </c>
      <c r="L8" s="12" t="s">
        <v>94</v>
      </c>
      <c r="M8" s="11" t="s">
        <v>95</v>
      </c>
      <c r="N8" s="12" t="s">
        <v>82</v>
      </c>
    </row>
    <row r="9" customFormat="false" ht="150" hidden="false" customHeight="true" outlineLevel="0" collapsed="false">
      <c r="A9" s="10" t="s">
        <v>96</v>
      </c>
      <c r="B9" s="11" t="s">
        <v>97</v>
      </c>
      <c r="C9" s="12" t="s">
        <v>98</v>
      </c>
      <c r="D9" s="13" t="s">
        <v>99</v>
      </c>
      <c r="E9" s="11" t="s">
        <v>100</v>
      </c>
      <c r="F9" s="11" t="s">
        <v>101</v>
      </c>
      <c r="G9" s="15" t="s">
        <v>102</v>
      </c>
      <c r="H9" s="11" t="s">
        <v>103</v>
      </c>
      <c r="I9" s="13" t="s">
        <v>104</v>
      </c>
      <c r="J9" s="11" t="s">
        <v>105</v>
      </c>
      <c r="K9" s="11" t="s">
        <v>106</v>
      </c>
      <c r="L9" s="12" t="s">
        <v>107</v>
      </c>
      <c r="M9" s="11" t="s">
        <v>108</v>
      </c>
      <c r="N9" s="12" t="s">
        <v>55</v>
      </c>
    </row>
    <row r="10" customFormat="false" ht="150" hidden="false" customHeight="true" outlineLevel="0" collapsed="false">
      <c r="A10" s="10" t="s">
        <v>109</v>
      </c>
      <c r="B10" s="11" t="s">
        <v>110</v>
      </c>
      <c r="C10" s="12" t="s">
        <v>111</v>
      </c>
      <c r="D10" s="11" t="s">
        <v>112</v>
      </c>
      <c r="E10" s="11" t="s">
        <v>113</v>
      </c>
      <c r="F10" s="11" t="s">
        <v>114</v>
      </c>
      <c r="G10" s="15" t="s">
        <v>115</v>
      </c>
      <c r="H10" s="11" t="s">
        <v>116</v>
      </c>
      <c r="I10" s="13" t="s">
        <v>117</v>
      </c>
      <c r="J10" s="11" t="s">
        <v>118</v>
      </c>
      <c r="K10" s="11" t="s">
        <v>119</v>
      </c>
      <c r="L10" s="12" t="s">
        <v>66</v>
      </c>
      <c r="M10" s="11" t="s">
        <v>120</v>
      </c>
      <c r="N10" s="12" t="s">
        <v>55</v>
      </c>
    </row>
    <row r="11" customFormat="false" ht="150" hidden="false" customHeight="true" outlineLevel="0" collapsed="false">
      <c r="A11" s="10" t="s">
        <v>121</v>
      </c>
      <c r="B11" s="11" t="s">
        <v>122</v>
      </c>
      <c r="C11" s="12" t="s">
        <v>123</v>
      </c>
      <c r="D11" s="11" t="s">
        <v>124</v>
      </c>
      <c r="E11" s="11" t="s">
        <v>125</v>
      </c>
      <c r="F11" s="11" t="s">
        <v>126</v>
      </c>
      <c r="G11" s="15" t="s">
        <v>127</v>
      </c>
      <c r="H11" s="13" t="s">
        <v>128</v>
      </c>
      <c r="I11" s="13" t="s">
        <v>129</v>
      </c>
      <c r="J11" s="11" t="s">
        <v>130</v>
      </c>
      <c r="K11" s="11" t="s">
        <v>131</v>
      </c>
      <c r="L11" s="12" t="s">
        <v>66</v>
      </c>
      <c r="M11" s="11" t="s">
        <v>132</v>
      </c>
      <c r="N11" s="12" t="s">
        <v>55</v>
      </c>
    </row>
    <row r="12" customFormat="false" ht="150" hidden="false" customHeight="true" outlineLevel="0" collapsed="false">
      <c r="A12" s="10" t="s">
        <v>133</v>
      </c>
      <c r="B12" s="11" t="s">
        <v>134</v>
      </c>
      <c r="C12" s="12" t="s">
        <v>135</v>
      </c>
      <c r="D12" s="11" t="s">
        <v>136</v>
      </c>
      <c r="E12" s="11" t="s">
        <v>137</v>
      </c>
      <c r="F12" s="11" t="s">
        <v>138</v>
      </c>
      <c r="G12" s="15" t="s">
        <v>139</v>
      </c>
      <c r="H12" s="11" t="s">
        <v>140</v>
      </c>
      <c r="I12" s="13" t="s">
        <v>141</v>
      </c>
      <c r="J12" s="11" t="s">
        <v>142</v>
      </c>
      <c r="K12" s="11" t="s">
        <v>143</v>
      </c>
      <c r="L12" s="12" t="s">
        <v>144</v>
      </c>
      <c r="M12" s="11" t="s">
        <v>145</v>
      </c>
      <c r="N12" s="12" t="s">
        <v>55</v>
      </c>
    </row>
    <row r="13" customFormat="false" ht="150" hidden="false" customHeight="true" outlineLevel="0" collapsed="false">
      <c r="A13" s="10" t="s">
        <v>146</v>
      </c>
      <c r="B13" s="11" t="s">
        <v>147</v>
      </c>
      <c r="C13" s="12" t="s">
        <v>148</v>
      </c>
      <c r="D13" s="11" t="s">
        <v>149</v>
      </c>
      <c r="E13" s="11" t="s">
        <v>150</v>
      </c>
      <c r="F13" s="11" t="s">
        <v>151</v>
      </c>
      <c r="G13" s="15" t="s">
        <v>152</v>
      </c>
      <c r="H13" s="13" t="s">
        <v>153</v>
      </c>
      <c r="I13" s="13" t="s">
        <v>154</v>
      </c>
      <c r="J13" s="11" t="s">
        <v>155</v>
      </c>
      <c r="K13" s="11" t="s">
        <v>156</v>
      </c>
      <c r="L13" s="12" t="s">
        <v>157</v>
      </c>
      <c r="M13" s="11" t="s">
        <v>158</v>
      </c>
      <c r="N13" s="12" t="s">
        <v>55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N5:N13" type="list">
      <formula1>"아이디어,검증중,운영중,중단"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24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7" t="s">
        <v>160</v>
      </c>
      <c r="B2" s="7"/>
      <c r="C2" s="7"/>
      <c r="D2" s="7"/>
      <c r="E2" s="7"/>
      <c r="F2" s="7"/>
      <c r="G2" s="7"/>
      <c r="H2" s="7"/>
    </row>
    <row r="4" customFormat="false" ht="33.75" hidden="false" customHeight="true" outlineLevel="0" collapsed="false">
      <c r="A4" s="8" t="s">
        <v>28</v>
      </c>
      <c r="B4" s="8" t="s">
        <v>161</v>
      </c>
      <c r="C4" s="9" t="s">
        <v>162</v>
      </c>
      <c r="D4" s="9" t="s">
        <v>163</v>
      </c>
      <c r="E4" s="9" t="s">
        <v>164</v>
      </c>
      <c r="F4" s="9" t="s">
        <v>165</v>
      </c>
      <c r="G4" s="9" t="s">
        <v>166</v>
      </c>
      <c r="H4" s="9" t="s">
        <v>167</v>
      </c>
      <c r="I4" s="9" t="s">
        <v>168</v>
      </c>
      <c r="J4" s="9" t="s">
        <v>169</v>
      </c>
      <c r="K4" s="9" t="s">
        <v>170</v>
      </c>
      <c r="L4" s="9" t="s">
        <v>171</v>
      </c>
    </row>
    <row r="5" customFormat="false" ht="19.5" hidden="false" customHeight="true" outlineLevel="0" collapsed="false">
      <c r="A5" s="16" t="s">
        <v>42</v>
      </c>
      <c r="B5" s="17" t="s">
        <v>172</v>
      </c>
      <c r="C5" s="18" t="n">
        <v>5</v>
      </c>
      <c r="D5" s="18" t="n">
        <v>3</v>
      </c>
      <c r="E5" s="19" t="n">
        <f aca="false">C5*(6-D5)</f>
        <v>15</v>
      </c>
      <c r="F5" s="19" t="str">
        <f aca="false">IF(E5&gt;=15,"1순위",IF(E5&gt;=10,"2순위","3순위"))</f>
        <v>1순위</v>
      </c>
      <c r="G5" s="16" t="s">
        <v>173</v>
      </c>
      <c r="H5" s="18" t="n">
        <v>48</v>
      </c>
      <c r="I5" s="18" t="n">
        <v>12</v>
      </c>
      <c r="J5" s="18" t="n">
        <v>12</v>
      </c>
      <c r="K5" s="20" t="n">
        <f aca="false">(H5-I5)*J5</f>
        <v>432</v>
      </c>
      <c r="L5" s="21" t="n">
        <f aca="false">K5*05_기준값_가정!$B$5</f>
        <v>15172272</v>
      </c>
    </row>
    <row r="6" customFormat="false" ht="19.5" hidden="false" customHeight="true" outlineLevel="0" collapsed="false">
      <c r="A6" s="16" t="s">
        <v>56</v>
      </c>
      <c r="B6" s="22" t="s">
        <v>174</v>
      </c>
      <c r="C6" s="18" t="n">
        <v>5</v>
      </c>
      <c r="D6" s="18" t="n">
        <v>3</v>
      </c>
      <c r="E6" s="19" t="n">
        <f aca="false">C6*(6-D6)</f>
        <v>15</v>
      </c>
      <c r="F6" s="19" t="str">
        <f aca="false">IF(E6&gt;=15,"1순위",IF(E6&gt;=10,"2순위","3순위"))</f>
        <v>1순위</v>
      </c>
      <c r="G6" s="16" t="s">
        <v>173</v>
      </c>
      <c r="H6" s="18" t="n">
        <v>16</v>
      </c>
      <c r="I6" s="18" t="n">
        <v>3</v>
      </c>
      <c r="J6" s="18" t="n">
        <v>12</v>
      </c>
      <c r="K6" s="20" t="n">
        <f aca="false">(H6-I6)*J6</f>
        <v>156</v>
      </c>
      <c r="L6" s="21" t="n">
        <f aca="false">K6*05_기준값_가정!$B$5</f>
        <v>5478876</v>
      </c>
    </row>
    <row r="7" customFormat="false" ht="19.5" hidden="false" customHeight="true" outlineLevel="0" collapsed="false">
      <c r="A7" s="16" t="s">
        <v>69</v>
      </c>
      <c r="B7" s="17" t="s">
        <v>175</v>
      </c>
      <c r="C7" s="18" t="n">
        <v>3</v>
      </c>
      <c r="D7" s="18" t="n">
        <v>1</v>
      </c>
      <c r="E7" s="19" t="n">
        <f aca="false">C7*(6-D7)</f>
        <v>15</v>
      </c>
      <c r="F7" s="19" t="str">
        <f aca="false">IF(E7&gt;=15,"1순위",IF(E7&gt;=10,"2순위","3순위"))</f>
        <v>1순위</v>
      </c>
      <c r="G7" s="16" t="s">
        <v>176</v>
      </c>
      <c r="H7" s="18" t="n">
        <v>8</v>
      </c>
      <c r="I7" s="18" t="n">
        <v>1.5</v>
      </c>
      <c r="J7" s="18" t="n">
        <v>12</v>
      </c>
      <c r="K7" s="20" t="n">
        <f aca="false">(H7-I7)*J7</f>
        <v>78</v>
      </c>
      <c r="L7" s="21" t="n">
        <f aca="false">K7*05_기준값_가정!$B$5</f>
        <v>2739438</v>
      </c>
    </row>
    <row r="8" customFormat="false" ht="19.5" hidden="false" customHeight="true" outlineLevel="0" collapsed="false">
      <c r="A8" s="16" t="s">
        <v>83</v>
      </c>
      <c r="B8" s="17" t="s">
        <v>177</v>
      </c>
      <c r="C8" s="18" t="n">
        <v>3</v>
      </c>
      <c r="D8" s="18" t="n">
        <v>1</v>
      </c>
      <c r="E8" s="19" t="n">
        <f aca="false">C8*(6-D8)</f>
        <v>15</v>
      </c>
      <c r="F8" s="19" t="str">
        <f aca="false">IF(E8&gt;=15,"1순위",IF(E8&gt;=10,"2순위","3순위"))</f>
        <v>1순위</v>
      </c>
      <c r="G8" s="16" t="s">
        <v>176</v>
      </c>
      <c r="H8" s="18" t="n">
        <v>2</v>
      </c>
      <c r="I8" s="18" t="n">
        <v>0.25</v>
      </c>
      <c r="J8" s="18" t="n">
        <v>48</v>
      </c>
      <c r="K8" s="20" t="n">
        <f aca="false">(H8-I8)*J8</f>
        <v>84</v>
      </c>
      <c r="L8" s="21" t="n">
        <f aca="false">K8*05_기준값_가정!$B$5</f>
        <v>2950164</v>
      </c>
    </row>
    <row r="9" customFormat="false" ht="19.5" hidden="false" customHeight="true" outlineLevel="0" collapsed="false">
      <c r="A9" s="16" t="s">
        <v>96</v>
      </c>
      <c r="B9" s="17" t="s">
        <v>178</v>
      </c>
      <c r="C9" s="18" t="n">
        <v>4</v>
      </c>
      <c r="D9" s="18" t="n">
        <v>3</v>
      </c>
      <c r="E9" s="19" t="n">
        <f aca="false">C9*(6-D9)</f>
        <v>12</v>
      </c>
      <c r="F9" s="19" t="str">
        <f aca="false">IF(E9&gt;=15,"1순위",IF(E9&gt;=10,"2순위","3순위"))</f>
        <v>2순위</v>
      </c>
      <c r="G9" s="16" t="s">
        <v>179</v>
      </c>
      <c r="H9" s="18" t="n">
        <v>14</v>
      </c>
      <c r="I9" s="18" t="n">
        <v>1.8</v>
      </c>
      <c r="J9" s="18" t="n">
        <v>12</v>
      </c>
      <c r="K9" s="20" t="n">
        <f aca="false">(H9-I9)*J9</f>
        <v>146.4</v>
      </c>
      <c r="L9" s="21" t="n">
        <f aca="false">K9*05_기준값_가정!$B$5</f>
        <v>5141714.4</v>
      </c>
    </row>
    <row r="10" customFormat="false" ht="19.5" hidden="false" customHeight="true" outlineLevel="0" collapsed="false">
      <c r="A10" s="16" t="s">
        <v>109</v>
      </c>
      <c r="B10" s="17" t="s">
        <v>180</v>
      </c>
      <c r="C10" s="18" t="n">
        <v>3</v>
      </c>
      <c r="D10" s="18" t="n">
        <v>2</v>
      </c>
      <c r="E10" s="19" t="n">
        <f aca="false">C10*(6-D10)</f>
        <v>12</v>
      </c>
      <c r="F10" s="19" t="str">
        <f aca="false">IF(E10&gt;=15,"1순위",IF(E10&gt;=10,"2순위","3순위"))</f>
        <v>2순위</v>
      </c>
      <c r="G10" s="16" t="s">
        <v>179</v>
      </c>
      <c r="H10" s="18" t="n">
        <v>6</v>
      </c>
      <c r="I10" s="18" t="n">
        <v>1</v>
      </c>
      <c r="J10" s="18" t="n">
        <v>12</v>
      </c>
      <c r="K10" s="20" t="n">
        <f aca="false">(H10-I10)*J10</f>
        <v>60</v>
      </c>
      <c r="L10" s="21" t="n">
        <f aca="false">K10*05_기준값_가정!$B$5</f>
        <v>2107260</v>
      </c>
    </row>
    <row r="11" customFormat="false" ht="19.5" hidden="false" customHeight="true" outlineLevel="0" collapsed="false">
      <c r="A11" s="16" t="s">
        <v>121</v>
      </c>
      <c r="B11" s="17" t="s">
        <v>181</v>
      </c>
      <c r="C11" s="18" t="n">
        <v>4</v>
      </c>
      <c r="D11" s="18" t="n">
        <v>3</v>
      </c>
      <c r="E11" s="19" t="n">
        <f aca="false">C11*(6-D11)</f>
        <v>12</v>
      </c>
      <c r="F11" s="19" t="str">
        <f aca="false">IF(E11&gt;=15,"1순위",IF(E11&gt;=10,"2순위","3순위"))</f>
        <v>2순위</v>
      </c>
      <c r="G11" s="16" t="s">
        <v>179</v>
      </c>
      <c r="H11" s="18" t="n">
        <v>8</v>
      </c>
      <c r="I11" s="18" t="n">
        <v>1.5</v>
      </c>
      <c r="J11" s="18" t="n">
        <v>12</v>
      </c>
      <c r="K11" s="20" t="n">
        <f aca="false">(H11-I11)*J11</f>
        <v>78</v>
      </c>
      <c r="L11" s="21" t="n">
        <f aca="false">K11*05_기준값_가정!$B$5</f>
        <v>2739438</v>
      </c>
    </row>
    <row r="12" customFormat="false" ht="19.5" hidden="false" customHeight="true" outlineLevel="0" collapsed="false">
      <c r="A12" s="16" t="s">
        <v>133</v>
      </c>
      <c r="B12" s="17" t="s">
        <v>182</v>
      </c>
      <c r="C12" s="18" t="n">
        <v>4</v>
      </c>
      <c r="D12" s="18" t="n">
        <v>3</v>
      </c>
      <c r="E12" s="19" t="n">
        <f aca="false">C12*(6-D12)</f>
        <v>12</v>
      </c>
      <c r="F12" s="19" t="str">
        <f aca="false">IF(E12&gt;=15,"1순위",IF(E12&gt;=10,"2순위","3순위"))</f>
        <v>2순위</v>
      </c>
      <c r="G12" s="16" t="s">
        <v>179</v>
      </c>
      <c r="H12" s="18" t="n">
        <v>4</v>
      </c>
      <c r="I12" s="18" t="n">
        <v>1</v>
      </c>
      <c r="J12" s="18" t="n">
        <v>12</v>
      </c>
      <c r="K12" s="20" t="n">
        <f aca="false">(H12-I12)*J12</f>
        <v>36</v>
      </c>
      <c r="L12" s="21" t="n">
        <f aca="false">K12*05_기준값_가정!$B$5</f>
        <v>1264356</v>
      </c>
    </row>
    <row r="13" customFormat="false" ht="19.5" hidden="false" customHeight="true" outlineLevel="0" collapsed="false">
      <c r="A13" s="16" t="s">
        <v>146</v>
      </c>
      <c r="B13" s="17" t="s">
        <v>183</v>
      </c>
      <c r="C13" s="18" t="n">
        <v>5</v>
      </c>
      <c r="D13" s="18" t="n">
        <v>5</v>
      </c>
      <c r="E13" s="19" t="n">
        <f aca="false">C13*(6-D13)</f>
        <v>5</v>
      </c>
      <c r="F13" s="19" t="str">
        <f aca="false">IF(E13&gt;=15,"1순위",IF(E13&gt;=10,"2순위","3순위"))</f>
        <v>3순위</v>
      </c>
      <c r="G13" s="16" t="s">
        <v>184</v>
      </c>
      <c r="H13" s="18" t="n">
        <v>40</v>
      </c>
      <c r="I13" s="18" t="n">
        <v>8</v>
      </c>
      <c r="J13" s="18" t="n">
        <v>1</v>
      </c>
      <c r="K13" s="20" t="n">
        <f aca="false">(H13-I13)*J13</f>
        <v>32</v>
      </c>
      <c r="L13" s="21" t="n">
        <f aca="false">K13*05_기준값_가정!$B$5</f>
        <v>1123872</v>
      </c>
    </row>
    <row r="14" customFormat="false" ht="15" hidden="false" customHeight="false" outlineLevel="0" collapsed="false">
      <c r="A14" s="23"/>
      <c r="B14" s="24" t="s">
        <v>185</v>
      </c>
      <c r="C14" s="23"/>
      <c r="D14" s="23"/>
      <c r="E14" s="23"/>
      <c r="F14" s="23"/>
      <c r="G14" s="23"/>
      <c r="H14" s="23"/>
      <c r="I14" s="23"/>
      <c r="J14" s="23"/>
      <c r="K14" s="25" t="n">
        <f aca="false">SUM(K5:K13)</f>
        <v>1102.4</v>
      </c>
      <c r="L14" s="26" t="n">
        <f aca="false">SUM(L5:L13)</f>
        <v>38717390.4</v>
      </c>
    </row>
    <row r="16" customFormat="false" ht="27.75" hidden="false" customHeight="true" outlineLevel="0" collapsed="false">
      <c r="A16" s="27" t="s">
        <v>186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customFormat="false" ht="27.75" hidden="false" customHeight="true" outlineLevel="0" collapsed="false">
      <c r="A17" s="27" t="s">
        <v>187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customFormat="false" ht="27.75" hidden="false" customHeight="true" outlineLevel="0" collapsed="false">
      <c r="A18" s="27" t="s">
        <v>188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customFormat="false" ht="27.75" hidden="false" customHeight="true" outlineLevel="0" collapsed="false">
      <c r="A19" s="27" t="s">
        <v>189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customFormat="false" ht="27.75" hidden="false" customHeight="true" outlineLevel="0" collapsed="false">
      <c r="A20" s="27" t="s">
        <v>190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</sheetData>
  <mergeCells count="7">
    <mergeCell ref="A1:H1"/>
    <mergeCell ref="A2:H2"/>
    <mergeCell ref="A16:L16"/>
    <mergeCell ref="A17:L17"/>
    <mergeCell ref="A18:L18"/>
    <mergeCell ref="A19:L19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7" t="s">
        <v>192</v>
      </c>
      <c r="B2" s="7"/>
      <c r="C2" s="7"/>
      <c r="D2" s="7"/>
      <c r="E2" s="7"/>
      <c r="F2" s="7"/>
      <c r="G2" s="7"/>
      <c r="H2" s="7"/>
    </row>
    <row r="4" customFormat="false" ht="24" hidden="false" customHeight="true" outlineLevel="0" collapsed="false">
      <c r="A4" s="28" t="s">
        <v>193</v>
      </c>
      <c r="B4" s="28"/>
      <c r="C4" s="28"/>
      <c r="D4" s="28"/>
      <c r="E4" s="28"/>
      <c r="F4" s="28"/>
    </row>
    <row r="5" customFormat="false" ht="19.5" hidden="false" customHeight="true" outlineLevel="0" collapsed="false">
      <c r="A5" s="29" t="s">
        <v>194</v>
      </c>
      <c r="B5" s="29" t="s">
        <v>195</v>
      </c>
      <c r="C5" s="29" t="s">
        <v>196</v>
      </c>
      <c r="D5" s="29" t="s">
        <v>197</v>
      </c>
      <c r="E5" s="29" t="s">
        <v>198</v>
      </c>
      <c r="F5" s="29" t="s">
        <v>199</v>
      </c>
    </row>
    <row r="6" customFormat="false" ht="61.5" hidden="false" customHeight="true" outlineLevel="0" collapsed="false">
      <c r="A6" s="30" t="s">
        <v>200</v>
      </c>
      <c r="B6" s="11" t="s">
        <v>201</v>
      </c>
      <c r="C6" s="11" t="s">
        <v>202</v>
      </c>
      <c r="D6" s="11" t="s">
        <v>203</v>
      </c>
      <c r="E6" s="11" t="s">
        <v>204</v>
      </c>
      <c r="F6" s="11" t="s">
        <v>205</v>
      </c>
    </row>
    <row r="7" customFormat="false" ht="61.5" hidden="false" customHeight="true" outlineLevel="0" collapsed="false">
      <c r="A7" s="30" t="s">
        <v>206</v>
      </c>
      <c r="B7" s="11" t="s">
        <v>207</v>
      </c>
      <c r="C7" s="13" t="s">
        <v>208</v>
      </c>
      <c r="D7" s="13" t="s">
        <v>209</v>
      </c>
      <c r="E7" s="11" t="s">
        <v>210</v>
      </c>
      <c r="F7" s="11" t="s">
        <v>211</v>
      </c>
    </row>
    <row r="8" customFormat="false" ht="61.5" hidden="false" customHeight="true" outlineLevel="0" collapsed="false">
      <c r="A8" s="30" t="s">
        <v>212</v>
      </c>
      <c r="B8" s="11" t="s">
        <v>213</v>
      </c>
      <c r="C8" s="11" t="s">
        <v>214</v>
      </c>
      <c r="D8" s="13" t="s">
        <v>215</v>
      </c>
      <c r="E8" s="11" t="s">
        <v>216</v>
      </c>
      <c r="F8" s="11" t="s">
        <v>217</v>
      </c>
    </row>
    <row r="9" customFormat="false" ht="61.5" hidden="false" customHeight="true" outlineLevel="0" collapsed="false">
      <c r="A9" s="30" t="s">
        <v>218</v>
      </c>
      <c r="B9" s="11" t="s">
        <v>219</v>
      </c>
      <c r="C9" s="13" t="s">
        <v>220</v>
      </c>
      <c r="D9" s="13" t="s">
        <v>221</v>
      </c>
      <c r="E9" s="11" t="s">
        <v>222</v>
      </c>
      <c r="F9" s="13" t="s">
        <v>223</v>
      </c>
    </row>
    <row r="10" customFormat="false" ht="61.5" hidden="false" customHeight="true" outlineLevel="0" collapsed="false">
      <c r="A10" s="30" t="s">
        <v>224</v>
      </c>
      <c r="B10" s="11" t="s">
        <v>225</v>
      </c>
      <c r="C10" s="11" t="s">
        <v>226</v>
      </c>
      <c r="D10" s="13" t="s">
        <v>227</v>
      </c>
      <c r="E10" s="11" t="s">
        <v>228</v>
      </c>
      <c r="F10" s="11" t="s">
        <v>229</v>
      </c>
    </row>
    <row r="11" customFormat="false" ht="61.5" hidden="false" customHeight="true" outlineLevel="0" collapsed="false">
      <c r="A11" s="30" t="s">
        <v>230</v>
      </c>
      <c r="B11" s="11" t="s">
        <v>231</v>
      </c>
      <c r="C11" s="11" t="s">
        <v>232</v>
      </c>
      <c r="D11" s="11" t="s">
        <v>233</v>
      </c>
      <c r="E11" s="11" t="s">
        <v>234</v>
      </c>
      <c r="F11" s="11" t="s">
        <v>235</v>
      </c>
    </row>
    <row r="14" customFormat="false" ht="24" hidden="false" customHeight="true" outlineLevel="0" collapsed="false">
      <c r="A14" s="28" t="s">
        <v>236</v>
      </c>
      <c r="B14" s="28"/>
      <c r="C14" s="28"/>
      <c r="D14" s="28"/>
      <c r="E14" s="28"/>
      <c r="F14" s="28"/>
    </row>
    <row r="15" customFormat="false" ht="19.5" hidden="false" customHeight="true" outlineLevel="0" collapsed="false">
      <c r="A15" s="29" t="s">
        <v>194</v>
      </c>
      <c r="B15" s="29" t="s">
        <v>195</v>
      </c>
      <c r="C15" s="29" t="s">
        <v>196</v>
      </c>
      <c r="D15" s="29" t="s">
        <v>197</v>
      </c>
      <c r="E15" s="29" t="s">
        <v>198</v>
      </c>
      <c r="F15" s="29" t="s">
        <v>199</v>
      </c>
    </row>
    <row r="16" customFormat="false" ht="61.5" hidden="false" customHeight="true" outlineLevel="0" collapsed="false">
      <c r="A16" s="30" t="s">
        <v>200</v>
      </c>
      <c r="B16" s="13" t="s">
        <v>237</v>
      </c>
      <c r="C16" s="11" t="s">
        <v>202</v>
      </c>
      <c r="D16" s="11" t="s">
        <v>238</v>
      </c>
      <c r="E16" s="11" t="s">
        <v>239</v>
      </c>
      <c r="F16" s="11" t="s">
        <v>240</v>
      </c>
    </row>
    <row r="17" customFormat="false" ht="61.5" hidden="false" customHeight="true" outlineLevel="0" collapsed="false">
      <c r="A17" s="30" t="s">
        <v>206</v>
      </c>
      <c r="B17" s="11" t="s">
        <v>241</v>
      </c>
      <c r="C17" s="13" t="s">
        <v>208</v>
      </c>
      <c r="D17" s="13" t="s">
        <v>209</v>
      </c>
      <c r="E17" s="11" t="s">
        <v>242</v>
      </c>
      <c r="F17" s="11" t="s">
        <v>243</v>
      </c>
    </row>
    <row r="18" customFormat="false" ht="61.5" hidden="false" customHeight="true" outlineLevel="0" collapsed="false">
      <c r="A18" s="30" t="s">
        <v>212</v>
      </c>
      <c r="B18" s="11" t="s">
        <v>244</v>
      </c>
      <c r="C18" s="11" t="s">
        <v>245</v>
      </c>
      <c r="D18" s="13" t="s">
        <v>246</v>
      </c>
      <c r="E18" s="11" t="s">
        <v>247</v>
      </c>
      <c r="F18" s="11" t="s">
        <v>248</v>
      </c>
    </row>
    <row r="19" customFormat="false" ht="61.5" hidden="false" customHeight="true" outlineLevel="0" collapsed="false">
      <c r="A19" s="30" t="s">
        <v>218</v>
      </c>
      <c r="B19" s="11" t="s">
        <v>249</v>
      </c>
      <c r="C19" s="13" t="s">
        <v>220</v>
      </c>
      <c r="D19" s="13" t="s">
        <v>221</v>
      </c>
      <c r="E19" s="11" t="s">
        <v>250</v>
      </c>
      <c r="F19" s="11" t="s">
        <v>251</v>
      </c>
    </row>
    <row r="20" customFormat="false" ht="61.5" hidden="false" customHeight="true" outlineLevel="0" collapsed="false">
      <c r="A20" s="30" t="s">
        <v>224</v>
      </c>
      <c r="B20" s="11" t="s">
        <v>252</v>
      </c>
      <c r="C20" s="11" t="s">
        <v>226</v>
      </c>
      <c r="D20" s="13" t="s">
        <v>253</v>
      </c>
      <c r="E20" s="11" t="s">
        <v>254</v>
      </c>
      <c r="F20" s="11" t="s">
        <v>255</v>
      </c>
    </row>
    <row r="21" customFormat="false" ht="61.5" hidden="false" customHeight="true" outlineLevel="0" collapsed="false">
      <c r="A21" s="30" t="s">
        <v>230</v>
      </c>
      <c r="B21" s="11" t="s">
        <v>256</v>
      </c>
      <c r="C21" s="11" t="s">
        <v>257</v>
      </c>
      <c r="D21" s="13" t="s">
        <v>258</v>
      </c>
      <c r="E21" s="11" t="s">
        <v>259</v>
      </c>
      <c r="F21" s="11" t="s">
        <v>260</v>
      </c>
    </row>
    <row r="24" customFormat="false" ht="42" hidden="false" customHeight="true" outlineLevel="0" collapsed="false">
      <c r="A24" s="31" t="s">
        <v>261</v>
      </c>
      <c r="B24" s="31"/>
      <c r="C24" s="31"/>
      <c r="D24" s="31"/>
      <c r="E24" s="31"/>
      <c r="F24" s="31"/>
    </row>
    <row r="25" customFormat="false" ht="42" hidden="false" customHeight="true" outlineLevel="0" collapsed="false">
      <c r="A25" s="32" t="s">
        <v>262</v>
      </c>
      <c r="B25" s="32"/>
      <c r="C25" s="32"/>
      <c r="D25" s="32"/>
      <c r="E25" s="32"/>
      <c r="F25" s="32"/>
    </row>
    <row r="26" customFormat="false" ht="42" hidden="false" customHeight="true" outlineLevel="0" collapsed="false">
      <c r="A26" s="31" t="s">
        <v>263</v>
      </c>
      <c r="B26" s="31"/>
      <c r="C26" s="31"/>
      <c r="D26" s="31"/>
      <c r="E26" s="31"/>
      <c r="F26" s="31"/>
    </row>
    <row r="27" customFormat="false" ht="42" hidden="false" customHeight="true" outlineLevel="0" collapsed="false">
      <c r="A27" s="31" t="s">
        <v>264</v>
      </c>
      <c r="B27" s="31"/>
      <c r="C27" s="31"/>
      <c r="D27" s="31"/>
      <c r="E27" s="31"/>
      <c r="F27" s="31"/>
    </row>
  </sheetData>
  <mergeCells count="8">
    <mergeCell ref="A1:H1"/>
    <mergeCell ref="A2:H2"/>
    <mergeCell ref="A4:F4"/>
    <mergeCell ref="A14:F14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8"/>
  </cols>
  <sheetData>
    <row r="1" customFormat="false" ht="24" hidden="false" customHeight="true" outlineLevel="0" collapsed="false">
      <c r="A1" s="1" t="s">
        <v>265</v>
      </c>
      <c r="B1" s="1"/>
      <c r="C1" s="1"/>
      <c r="D1" s="1"/>
    </row>
    <row r="2" customFormat="false" ht="15.75" hidden="false" customHeight="true" outlineLevel="0" collapsed="false">
      <c r="A2" s="7" t="s">
        <v>266</v>
      </c>
      <c r="B2" s="7"/>
      <c r="C2" s="7"/>
      <c r="D2" s="7"/>
    </row>
    <row r="4" customFormat="false" ht="19.5" hidden="false" customHeight="true" outlineLevel="0" collapsed="false">
      <c r="A4" s="29" t="s">
        <v>267</v>
      </c>
      <c r="B4" s="29" t="s">
        <v>268</v>
      </c>
    </row>
    <row r="5" customFormat="false" ht="120" hidden="false" customHeight="true" outlineLevel="0" collapsed="false">
      <c r="A5" s="33" t="s">
        <v>269</v>
      </c>
      <c r="B5" s="11" t="s">
        <v>270</v>
      </c>
    </row>
    <row r="6" customFormat="false" ht="285" hidden="false" customHeight="true" outlineLevel="0" collapsed="false">
      <c r="A6" s="33" t="s">
        <v>271</v>
      </c>
      <c r="B6" s="11" t="s">
        <v>272</v>
      </c>
    </row>
    <row r="7" customFormat="false" ht="345" hidden="false" customHeight="true" outlineLevel="0" collapsed="false">
      <c r="A7" s="33" t="s">
        <v>273</v>
      </c>
      <c r="B7" s="13" t="s">
        <v>274</v>
      </c>
    </row>
    <row r="8" customFormat="false" ht="60" hidden="false" customHeight="true" outlineLevel="0" collapsed="false">
      <c r="A8" s="33" t="s">
        <v>275</v>
      </c>
      <c r="B8" s="11" t="s">
        <v>276</v>
      </c>
    </row>
    <row r="9" customFormat="false" ht="60" hidden="false" customHeight="true" outlineLevel="0" collapsed="false">
      <c r="A9" s="33" t="s">
        <v>277</v>
      </c>
      <c r="B9" s="13" t="s">
        <v>278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4"/>
  </cols>
  <sheetData>
    <row r="1" customFormat="false" ht="24" hidden="false" customHeight="true" outlineLevel="0" collapsed="false">
      <c r="A1" s="1" t="s">
        <v>279</v>
      </c>
      <c r="B1" s="1"/>
      <c r="C1" s="1"/>
      <c r="D1" s="1"/>
    </row>
    <row r="2" customFormat="false" ht="15.75" hidden="false" customHeight="true" outlineLevel="0" collapsed="false">
      <c r="A2" s="7" t="s">
        <v>280</v>
      </c>
      <c r="B2" s="7"/>
      <c r="C2" s="7"/>
      <c r="D2" s="7"/>
    </row>
    <row r="4" customFormat="false" ht="15" hidden="false" customHeight="false" outlineLevel="0" collapsed="false">
      <c r="A4" s="29" t="s">
        <v>281</v>
      </c>
      <c r="B4" s="29" t="s">
        <v>282</v>
      </c>
      <c r="C4" s="29" t="s">
        <v>283</v>
      </c>
      <c r="D4" s="29" t="s">
        <v>284</v>
      </c>
    </row>
    <row r="5" customFormat="false" ht="24" hidden="false" customHeight="true" outlineLevel="0" collapsed="false">
      <c r="A5" s="34" t="s">
        <v>285</v>
      </c>
      <c r="B5" s="35" t="n">
        <v>35121</v>
      </c>
      <c r="C5" s="36" t="s">
        <v>286</v>
      </c>
      <c r="D5" s="37" t="s">
        <v>287</v>
      </c>
    </row>
    <row r="6" customFormat="false" ht="24" hidden="false" customHeight="true" outlineLevel="0" collapsed="false">
      <c r="A6" s="34" t="s">
        <v>288</v>
      </c>
      <c r="B6" s="35" t="n">
        <v>153</v>
      </c>
      <c r="C6" s="36" t="s">
        <v>289</v>
      </c>
      <c r="D6" s="37" t="s">
        <v>290</v>
      </c>
    </row>
    <row r="7" customFormat="false" ht="24" hidden="false" customHeight="true" outlineLevel="0" collapsed="false">
      <c r="A7" s="34" t="s">
        <v>291</v>
      </c>
      <c r="B7" s="35" t="n">
        <v>91</v>
      </c>
      <c r="C7" s="36" t="s">
        <v>289</v>
      </c>
      <c r="D7" s="37" t="s">
        <v>292</v>
      </c>
    </row>
    <row r="8" customFormat="false" ht="24" hidden="false" customHeight="true" outlineLevel="0" collapsed="false">
      <c r="A8" s="34" t="s">
        <v>293</v>
      </c>
      <c r="B8" s="35" t="n">
        <v>55</v>
      </c>
      <c r="C8" s="36" t="s">
        <v>289</v>
      </c>
      <c r="D8" s="37" t="s">
        <v>292</v>
      </c>
    </row>
    <row r="9" customFormat="false" ht="24" hidden="false" customHeight="true" outlineLevel="0" collapsed="false">
      <c r="A9" s="34" t="s">
        <v>294</v>
      </c>
      <c r="B9" s="35" t="n">
        <v>55</v>
      </c>
      <c r="C9" s="36" t="s">
        <v>289</v>
      </c>
      <c r="D9" s="37" t="s">
        <v>292</v>
      </c>
    </row>
    <row r="10" customFormat="false" ht="24" hidden="false" customHeight="true" outlineLevel="0" collapsed="false">
      <c r="A10" s="34" t="s">
        <v>295</v>
      </c>
      <c r="B10" s="38" t="n">
        <f aca="false">SUM(B6:B9)</f>
        <v>354</v>
      </c>
      <c r="C10" s="36" t="s">
        <v>289</v>
      </c>
      <c r="D10" s="39" t="s">
        <v>296</v>
      </c>
    </row>
    <row r="11" customFormat="false" ht="24" hidden="false" customHeight="true" outlineLevel="0" collapsed="false">
      <c r="A11" s="40" t="s">
        <v>297</v>
      </c>
      <c r="B11" s="41" t="n">
        <v>0.0412</v>
      </c>
      <c r="C11" s="42" t="s">
        <v>298</v>
      </c>
      <c r="D11" s="39" t="s">
        <v>299</v>
      </c>
    </row>
    <row r="12" customFormat="false" ht="24" hidden="false" customHeight="true" outlineLevel="0" collapsed="false">
      <c r="A12" s="40" t="s">
        <v>300</v>
      </c>
      <c r="B12" s="41" t="n">
        <v>0.0482</v>
      </c>
      <c r="C12" s="42" t="s">
        <v>298</v>
      </c>
      <c r="D12" s="39" t="s">
        <v>301</v>
      </c>
    </row>
    <row r="13" customFormat="false" ht="24" hidden="false" customHeight="true" outlineLevel="0" collapsed="false">
      <c r="A13" s="40" t="s">
        <v>302</v>
      </c>
      <c r="B13" s="41" t="n">
        <v>0.52</v>
      </c>
      <c r="C13" s="42" t="s">
        <v>298</v>
      </c>
      <c r="D13" s="39" t="s">
        <v>303</v>
      </c>
    </row>
    <row r="15" customFormat="false" ht="30" hidden="false" customHeight="true" outlineLevel="0" collapsed="false">
      <c r="A15" s="27" t="s">
        <v>304</v>
      </c>
      <c r="B15" s="27"/>
      <c r="C15" s="27"/>
      <c r="D15" s="27"/>
    </row>
    <row r="16" customFormat="false" ht="30" hidden="false" customHeight="true" outlineLevel="0" collapsed="false">
      <c r="A16" s="27" t="s">
        <v>305</v>
      </c>
      <c r="B16" s="27"/>
      <c r="C16" s="27"/>
      <c r="D16" s="27"/>
    </row>
    <row r="17" customFormat="false" ht="30" hidden="false" customHeight="true" outlineLevel="0" collapsed="false">
      <c r="A17" s="27" t="s">
        <v>306</v>
      </c>
      <c r="B17" s="27"/>
      <c r="C17" s="27"/>
      <c r="D17" s="27"/>
    </row>
    <row r="18" customFormat="false" ht="30" hidden="false" customHeight="true" outlineLevel="0" collapsed="false">
      <c r="A18" s="27" t="s">
        <v>307</v>
      </c>
      <c r="B18" s="27"/>
      <c r="C18" s="27"/>
      <c r="D18" s="27"/>
    </row>
    <row r="19" customFormat="false" ht="30" hidden="false" customHeight="true" outlineLevel="0" collapsed="false">
      <c r="A19" s="27" t="s">
        <v>308</v>
      </c>
      <c r="B19" s="27"/>
      <c r="C19" s="27"/>
      <c r="D19" s="27"/>
    </row>
    <row r="20" customFormat="false" ht="30" hidden="false" customHeight="true" outlineLevel="0" collapsed="false">
      <c r="A20" s="27" t="s">
        <v>309</v>
      </c>
      <c r="B20" s="27"/>
      <c r="C20" s="27"/>
      <c r="D20" s="27"/>
    </row>
    <row r="21" customFormat="false" ht="30" hidden="false" customHeight="true" outlineLevel="0" collapsed="false">
      <c r="A21" s="27" t="s">
        <v>310</v>
      </c>
      <c r="B21" s="27"/>
      <c r="C21" s="27"/>
      <c r="D21" s="27"/>
    </row>
    <row r="22" customFormat="false" ht="30" hidden="false" customHeight="true" outlineLevel="0" collapsed="false">
      <c r="A22" s="27" t="s">
        <v>311</v>
      </c>
      <c r="B22" s="27"/>
      <c r="C22" s="27"/>
      <c r="D22" s="27"/>
    </row>
    <row r="23" customFormat="false" ht="30" hidden="false" customHeight="true" outlineLevel="0" collapsed="false">
      <c r="A23" s="27" t="s">
        <v>312</v>
      </c>
      <c r="B23" s="27"/>
      <c r="C23" s="27"/>
      <c r="D23" s="27"/>
    </row>
  </sheetData>
  <mergeCells count="11">
    <mergeCell ref="A1:D1"/>
    <mergeCell ref="A2:D2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2026-08-20T18:21:12Z</dcterms:created>
  <dc:creator>openpyxl</dc:creator>
  <dc:description/>
  <dc:language>en-US</dc:language>
  <cp:lastModifiedBy/>
  <dcterms:modified xsi:type="dcterms:W3CDTF">2026-08-20T18:21:12Z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