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표지" sheetId="1" state="visible" r:id="rId3"/>
    <sheet name="01_기준전제" sheetId="2" state="visible" r:id="rId4"/>
    <sheet name="02_KPI목표" sheetId="3" state="visible" r:id="rId5"/>
    <sheet name="03_연간스케줄" sheetId="4" state="visible" r:id="rId6"/>
    <sheet name="04_중점과제" sheetId="5" state="visible" r:id="rId7"/>
    <sheet name="05_LOSS효율시뮬" sheetId="6" state="visible" r:id="rId8"/>
    <sheet name="06_인력계획" sheetId="7" state="visible" r:id="rId9"/>
    <sheet name="07_리스크등록부" sheetId="8" state="visible" r:id="rId10"/>
    <sheet name="08_운영루틴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<sst xmlns="http://schemas.openxmlformats.org/spreadsheetml/2006/main" count="782" uniqueCount="484">
  <si>
    <r>
      <rPr>
        <b val="true"/>
        <sz val="28"/>
        <color rgb="FF1F3864"/>
        <rFont val="맑은 고딕"/>
        <family val="0"/>
        <charset val="1"/>
      </rPr>
      <t xml:space="preserve">BY27 </t>
    </r>
    <r>
      <rPr>
        <b val="true"/>
        <sz val="28"/>
        <color rgb="FF1F3864"/>
        <rFont val="WenQuanYi Zen Hei"/>
        <family val="2"/>
      </rPr>
      <t xml:space="preserve">연간 운영계획</t>
    </r>
  </si>
  <si>
    <r>
      <rPr>
        <sz val="13"/>
        <color rgb="FF2F5597"/>
        <rFont val="WenQuanYi Zen Hei"/>
        <family val="2"/>
      </rPr>
      <t xml:space="preserve">제니엘 </t>
    </r>
    <r>
      <rPr>
        <sz val="13"/>
        <color rgb="FF2F5597"/>
        <rFont val="맑은 고딕"/>
        <family val="0"/>
        <charset val="1"/>
      </rPr>
      <t xml:space="preserve">AP </t>
    </r>
    <r>
      <rPr>
        <sz val="13"/>
        <color rgb="FF2F5597"/>
        <rFont val="WenQuanYi Zen Hei"/>
        <family val="2"/>
      </rPr>
      <t xml:space="preserve">대전공장 센터 </t>
    </r>
    <r>
      <rPr>
        <sz val="13"/>
        <color rgb="FF2F5597"/>
        <rFont val="맑은 고딕"/>
        <family val="0"/>
        <charset val="1"/>
      </rPr>
      <t xml:space="preserve">· </t>
    </r>
    <r>
      <rPr>
        <sz val="13"/>
        <color rgb="FF2F5597"/>
        <rFont val="WenQuanYi Zen Hei"/>
        <family val="2"/>
      </rPr>
      <t xml:space="preserve">생산도급</t>
    </r>
    <r>
      <rPr>
        <sz val="13"/>
        <color rgb="FF2F5597"/>
        <rFont val="맑은 고딕"/>
        <family val="0"/>
        <charset val="1"/>
      </rPr>
      <t xml:space="preserve">/</t>
    </r>
    <r>
      <rPr>
        <sz val="13"/>
        <color rgb="FF2F5597"/>
        <rFont val="WenQuanYi Zen Hei"/>
        <family val="2"/>
      </rPr>
      <t xml:space="preserve">업무도급 </t>
    </r>
    <r>
      <rPr>
        <sz val="13"/>
        <color rgb="FF2F5597"/>
        <rFont val="맑은 고딕"/>
        <family val="0"/>
        <charset val="1"/>
      </rPr>
      <t xml:space="preserve">4</t>
    </r>
    <r>
      <rPr>
        <sz val="13"/>
        <color rgb="FF2F5597"/>
        <rFont val="WenQuanYi Zen Hei"/>
        <family val="2"/>
      </rPr>
      <t xml:space="preserve">축</t>
    </r>
  </si>
  <si>
    <r>
      <rPr>
        <sz val="11"/>
        <color rgb="FF808080"/>
        <rFont val="WenQuanYi Zen Hei"/>
        <family val="2"/>
      </rPr>
      <t xml:space="preserve">대상기간  </t>
    </r>
    <r>
      <rPr>
        <sz val="11"/>
        <color rgb="FF808080"/>
        <rFont val="맑은 고딕"/>
        <family val="0"/>
        <charset val="1"/>
      </rPr>
      <t xml:space="preserve">2027.01 ~ 2027.12</t>
    </r>
  </si>
  <si>
    <t xml:space="preserve">문서 목적</t>
  </si>
  <si>
    <r>
      <rPr>
        <sz val="10"/>
        <color rgb="FF000000"/>
        <rFont val="WenQuanYi Zen Hei"/>
        <family val="2"/>
      </rPr>
      <t xml:space="preserve">센터장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현장소장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연간 업무계획 — 목표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일정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자원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리스크를 한 문서에서 관리하고 월 단위로 실적을 채워 본사 보고에 그대로 사용한다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</si>
  <si>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적용 범위</t>
  </si>
  <si>
    <r>
      <rPr>
        <sz val="10"/>
        <color rgb="FF000000"/>
        <rFont val="WenQuanYi Zen Hei"/>
        <family val="2"/>
      </rPr>
      <t xml:space="preserve">아모레퍼시픽 생산도급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업무도급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코스비전 생산도급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업무도급 </t>
    </r>
    <r>
      <rPr>
        <sz val="10"/>
        <color rgb="FF000000"/>
        <rFont val="맑은 고딕"/>
        <family val="0"/>
        <charset val="1"/>
      </rPr>
      <t xml:space="preserve">(4</t>
    </r>
    <r>
      <rPr>
        <sz val="10"/>
        <color rgb="FF000000"/>
        <rFont val="WenQuanYi Zen Hei"/>
        <family val="2"/>
      </rPr>
      <t xml:space="preserve">축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총 </t>
    </r>
    <r>
      <rPr>
        <sz val="10"/>
        <color rgb="FF000000"/>
        <rFont val="맑은 고딕"/>
        <family val="0"/>
        <charset val="1"/>
      </rPr>
      <t xml:space="preserve">354</t>
    </r>
    <r>
      <rPr>
        <sz val="10"/>
        <color rgb="FF000000"/>
        <rFont val="WenQuanYi Zen Hei"/>
        <family val="2"/>
      </rPr>
      <t xml:space="preserve">명</t>
    </r>
    <r>
      <rPr>
        <sz val="10"/>
        <color rgb="FF000000"/>
        <rFont val="맑은 고딕"/>
        <family val="0"/>
        <charset val="1"/>
      </rPr>
      <t xml:space="preserve">). </t>
    </r>
    <r>
      <rPr>
        <sz val="10"/>
        <color rgb="FF000000"/>
        <rFont val="WenQuanYi Zen Hei"/>
        <family val="2"/>
      </rPr>
      <t xml:space="preserve">집계는 고객</t>
    </r>
    <r>
      <rPr>
        <sz val="10"/>
        <color rgb="FF000000"/>
        <rFont val="맑은 고딕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계약유형 분리가 기본이며 합산 시 출처를 명시한다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</si>
  <si>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운영 축</t>
  </si>
  <si>
    <r>
      <rPr>
        <sz val="10"/>
        <color rgb="FF000000"/>
        <rFont val="맑은 고딕"/>
        <family val="0"/>
        <charset val="1"/>
      </rPr>
      <t xml:space="preserve">P1 </t>
    </r>
    <r>
      <rPr>
        <sz val="10"/>
        <color rgb="FF000000"/>
        <rFont val="WenQuanYi Zen Hei"/>
        <family val="2"/>
      </rPr>
      <t xml:space="preserve">생산성</t>
    </r>
    <r>
      <rPr>
        <sz val="10"/>
        <color rgb="FF000000"/>
        <rFont val="맑은 고딕"/>
        <family val="0"/>
        <charset val="1"/>
      </rPr>
      <t xml:space="preserve">·LOSS · P2 </t>
    </r>
    <r>
      <rPr>
        <sz val="10"/>
        <color rgb="FF000000"/>
        <rFont val="WenQuanYi Zen Hei"/>
        <family val="2"/>
      </rPr>
      <t xml:space="preserve">인력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조직 </t>
    </r>
    <r>
      <rPr>
        <sz val="10"/>
        <color rgb="FF000000"/>
        <rFont val="맑은 고딕"/>
        <family val="0"/>
        <charset val="1"/>
      </rPr>
      <t xml:space="preserve">· P3 </t>
    </r>
    <r>
      <rPr>
        <sz val="10"/>
        <color rgb="FF000000"/>
        <rFont val="WenQuanYi Zen Hei"/>
        <family val="2"/>
      </rPr>
      <t xml:space="preserve">품질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안전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노무 </t>
    </r>
    <r>
      <rPr>
        <sz val="10"/>
        <color rgb="FF000000"/>
        <rFont val="맑은 고딕"/>
        <family val="0"/>
        <charset val="1"/>
      </rPr>
      <t xml:space="preserve">· P4 </t>
    </r>
    <r>
      <rPr>
        <sz val="10"/>
        <color rgb="FF000000"/>
        <rFont val="WenQuanYi Zen Hei"/>
        <family val="2"/>
      </rPr>
      <t xml:space="preserve">원가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정산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단가 </t>
    </r>
    <r>
      <rPr>
        <sz val="10"/>
        <color rgb="FF000000"/>
        <rFont val="맑은 고딕"/>
        <family val="0"/>
        <charset val="1"/>
      </rPr>
      <t xml:space="preserve">· P5 </t>
    </r>
    <r>
      <rPr>
        <sz val="10"/>
        <color rgb="FF000000"/>
        <rFont val="WenQuanYi Zen Hei"/>
        <family val="2"/>
      </rPr>
      <t xml:space="preserve">표준화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디지털</t>
    </r>
  </si>
  <si>
    <t xml:space="preserve">중점과제</t>
  </si>
  <si>
    <r>
      <rPr>
        <sz val="10"/>
        <color rgb="FF000000"/>
        <rFont val="맑은 고딕"/>
        <family val="0"/>
        <charset val="1"/>
      </rPr>
      <t xml:space="preserve">15</t>
    </r>
    <r>
      <rPr>
        <sz val="10"/>
        <color rgb="FF000000"/>
        <rFont val="WenQuanYi Zen Hei"/>
        <family val="2"/>
      </rPr>
      <t xml:space="preserve">건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축별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건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</si>
  <si>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KPI</t>
  </si>
  <si>
    <r>
      <rPr>
        <sz val="10"/>
        <color rgb="FF000000"/>
        <rFont val="맑은 고딕"/>
        <family val="0"/>
        <charset val="1"/>
      </rPr>
      <t xml:space="preserve">12</t>
    </r>
    <r>
      <rPr>
        <sz val="10"/>
        <color rgb="FF000000"/>
        <rFont val="WenQuanYi Zen Hei"/>
        <family val="2"/>
      </rPr>
      <t xml:space="preserve">개 — 매월 실적 입력 시 달성률 자동 산출</t>
    </r>
  </si>
  <si>
    <t xml:space="preserve">사용법</t>
  </si>
  <si>
    <r>
      <rPr>
        <sz val="10"/>
        <color rgb="FF000000"/>
        <rFont val="WenQuanYi Zen Hei"/>
        <family val="2"/>
      </rPr>
      <t xml:space="preserve">노란 채움 </t>
    </r>
    <r>
      <rPr>
        <sz val="10"/>
        <color rgb="FF000000"/>
        <rFont val="맑은 고딕"/>
        <family val="0"/>
        <charset val="1"/>
      </rPr>
      <t xml:space="preserve">+ </t>
    </r>
    <r>
      <rPr>
        <sz val="10"/>
        <color rgb="FF000000"/>
        <rFont val="WenQuanYi Zen Hei"/>
        <family val="2"/>
      </rPr>
      <t xml:space="preserve">파란 글씨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입력 셀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검정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수식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수정 금지</t>
    </r>
    <r>
      <rPr>
        <sz val="10"/>
        <color rgb="FF000000"/>
        <rFont val="맑은 고딕"/>
        <family val="0"/>
        <charset val="1"/>
      </rPr>
      <t xml:space="preserve">). </t>
    </r>
    <r>
      <rPr>
        <sz val="10"/>
        <color rgb="FF000000"/>
        <rFont val="WenQuanYi Zen Hei"/>
        <family val="2"/>
      </rPr>
      <t xml:space="preserve">초록 </t>
    </r>
    <r>
      <rPr>
        <sz val="10"/>
        <color rgb="FF000000"/>
        <rFont val="맑은 고딕"/>
        <family val="0"/>
        <charset val="1"/>
      </rPr>
      <t xml:space="preserve">= </t>
    </r>
    <r>
      <rPr>
        <sz val="10"/>
        <color rgb="FF000000"/>
        <rFont val="WenQuanYi Zen Hei"/>
        <family val="2"/>
      </rPr>
      <t xml:space="preserve">다른 시트 참조</t>
    </r>
    <r>
      <rPr>
        <sz val="10"/>
        <color rgb="FF000000"/>
        <rFont val="맑은 고딕"/>
        <family val="0"/>
        <charset val="1"/>
      </rPr>
      <t xml:space="preserve">. 01_</t>
    </r>
    <r>
      <rPr>
        <sz val="10"/>
        <color rgb="FF000000"/>
        <rFont val="WenQuanYi Zen Hei"/>
        <family val="2"/>
      </rPr>
      <t xml:space="preserve">기준전제의 입력값만 갱신하면 </t>
    </r>
    <r>
      <rPr>
        <sz val="10"/>
        <color rgb="FF000000"/>
        <rFont val="맑은 고딕"/>
        <family val="0"/>
        <charset val="1"/>
      </rPr>
      <t xml:space="preserve">02·04 </t>
    </r>
    <r>
      <rPr>
        <sz val="10"/>
        <color rgb="FF000000"/>
        <rFont val="WenQuanYi Zen Hei"/>
        <family val="2"/>
      </rPr>
      <t xml:space="preserve">시트가 자동 재계산된다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</si>
  <si>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수치 신뢰도</t>
  </si>
  <si>
    <r>
      <rPr>
        <sz val="10"/>
        <color rgb="FF000000"/>
        <rFont val="WenQuanYi Zen Hei"/>
        <family val="2"/>
      </rPr>
      <t xml:space="preserve">임률 </t>
    </r>
    <r>
      <rPr>
        <sz val="10"/>
        <color rgb="FF000000"/>
        <rFont val="맑은 고딕"/>
        <family val="0"/>
        <charset val="1"/>
      </rPr>
      <t xml:space="preserve">35,121</t>
    </r>
    <r>
      <rPr>
        <sz val="10"/>
        <color rgb="FF000000"/>
        <rFont val="WenQuanYi Zen Hei"/>
        <family val="2"/>
      </rPr>
      <t xml:space="preserve">원</t>
    </r>
    <r>
      <rPr>
        <sz val="10"/>
        <color rgb="FF000000"/>
        <rFont val="맑은 고딕"/>
        <family val="0"/>
        <charset val="1"/>
      </rPr>
      <t xml:space="preserve">/M·H · </t>
    </r>
    <r>
      <rPr>
        <sz val="10"/>
        <color rgb="FF000000"/>
        <rFont val="WenQuanYi Zen Hei"/>
        <family val="2"/>
      </rPr>
      <t xml:space="preserve">원청귀책 </t>
    </r>
    <r>
      <rPr>
        <sz val="10"/>
        <color rgb="FF000000"/>
        <rFont val="맑은 고딕"/>
        <family val="0"/>
        <charset val="1"/>
      </rPr>
      <t xml:space="preserve">52% · BY26 </t>
    </r>
    <r>
      <rPr>
        <sz val="10"/>
        <color rgb="FF000000"/>
        <rFont val="WenQuanYi Zen Hei"/>
        <family val="2"/>
      </rPr>
      <t xml:space="preserve">단가인상률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생산 </t>
    </r>
    <r>
      <rPr>
        <sz val="10"/>
        <color rgb="FF000000"/>
        <rFont val="맑은 고딕"/>
        <family val="0"/>
        <charset val="1"/>
      </rPr>
      <t xml:space="preserve">+4.12% / </t>
    </r>
    <r>
      <rPr>
        <sz val="10"/>
        <color rgb="FF000000"/>
        <rFont val="WenQuanYi Zen Hei"/>
        <family val="2"/>
      </rPr>
      <t xml:space="preserve">업무 </t>
    </r>
    <r>
      <rPr>
        <sz val="10"/>
        <color rgb="FF000000"/>
        <rFont val="맑은 고딕"/>
        <family val="0"/>
        <charset val="1"/>
      </rPr>
      <t xml:space="preserve">+4.82%) · 4</t>
    </r>
    <r>
      <rPr>
        <sz val="10"/>
        <color rgb="FF000000"/>
        <rFont val="WenQuanYi Zen Hei"/>
        <family val="2"/>
      </rPr>
      <t xml:space="preserve">축 인원은 실적값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WenQuanYi Zen Hei"/>
        <family val="2"/>
      </rPr>
      <t xml:space="preserve">그 외 </t>
    </r>
    <r>
      <rPr>
        <sz val="10"/>
        <color rgb="FF000000"/>
        <rFont val="맑은 고딕"/>
        <family val="0"/>
        <charset val="1"/>
      </rPr>
      <t xml:space="preserve">BY26 </t>
    </r>
    <r>
      <rPr>
        <sz val="10"/>
        <color rgb="FF000000"/>
        <rFont val="WenQuanYi Zen Hei"/>
        <family val="2"/>
      </rPr>
      <t xml:space="preserve">기준값은 플레이스홀더이며 실적 입력이 필요하다 — </t>
    </r>
    <r>
      <rPr>
        <sz val="10"/>
        <color rgb="FF000000"/>
        <rFont val="맑은 고딕"/>
        <family val="0"/>
        <charset val="1"/>
      </rPr>
      <t xml:space="preserve">01_</t>
    </r>
    <r>
      <rPr>
        <sz val="10"/>
        <color rgb="FF000000"/>
        <rFont val="WenQuanYi Zen Hei"/>
        <family val="2"/>
      </rPr>
      <t xml:space="preserve">기준전제 </t>
    </r>
    <r>
      <rPr>
        <sz val="10"/>
        <color rgb="FF000000"/>
        <rFont val="맑은 고딕"/>
        <family val="0"/>
        <charset val="1"/>
      </rPr>
      <t xml:space="preserve">'</t>
    </r>
    <r>
      <rPr>
        <sz val="10"/>
        <color rgb="FF000000"/>
        <rFont val="WenQuanYi Zen Hei"/>
        <family val="2"/>
      </rPr>
      <t xml:space="preserve">출처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근거</t>
    </r>
    <r>
      <rPr>
        <sz val="10"/>
        <color rgb="FF000000"/>
        <rFont val="맑은 고딕"/>
        <family val="0"/>
        <charset val="1"/>
      </rPr>
      <t xml:space="preserve">' </t>
    </r>
    <r>
      <rPr>
        <sz val="10"/>
        <color rgb="FF000000"/>
        <rFont val="WenQuanYi Zen Hei"/>
        <family val="2"/>
      </rPr>
      <t xml:space="preserve">열 참조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</si>
  <si>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시트 구성</t>
  </si>
  <si>
    <r>
      <rPr>
        <sz val="10"/>
        <color rgb="FF000000"/>
        <rFont val="맑은 고딕"/>
        <family val="0"/>
        <charset val="1"/>
      </rPr>
      <t xml:space="preserve">01_</t>
    </r>
    <r>
      <rPr>
        <sz val="10"/>
        <color rgb="FF000000"/>
        <rFont val="WenQuanYi Zen Hei"/>
        <family val="2"/>
      </rPr>
      <t xml:space="preserve">기준전제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입력</t>
    </r>
    <r>
      <rPr>
        <sz val="10"/>
        <color rgb="FF000000"/>
        <rFont val="맑은 고딕"/>
        <family val="0"/>
        <charset val="1"/>
      </rPr>
      <t xml:space="preserve">) → 02_KPI</t>
    </r>
    <r>
      <rPr>
        <sz val="10"/>
        <color rgb="FF000000"/>
        <rFont val="WenQuanYi Zen Hei"/>
        <family val="2"/>
      </rPr>
      <t xml:space="preserve">목표 → </t>
    </r>
    <r>
      <rPr>
        <sz val="10"/>
        <color rgb="FF000000"/>
        <rFont val="맑은 고딕"/>
        <family val="0"/>
        <charset val="1"/>
      </rPr>
      <t xml:space="preserve">03_</t>
    </r>
    <r>
      <rPr>
        <sz val="10"/>
        <color rgb="FF000000"/>
        <rFont val="WenQuanYi Zen Hei"/>
        <family val="2"/>
      </rPr>
      <t xml:space="preserve">연간스케줄 → </t>
    </r>
    <r>
      <rPr>
        <sz val="10"/>
        <color rgb="FF000000"/>
        <rFont val="맑은 고딕"/>
        <family val="0"/>
        <charset val="1"/>
      </rPr>
      <t xml:space="preserve">04_</t>
    </r>
    <r>
      <rPr>
        <sz val="10"/>
        <color rgb="FF000000"/>
        <rFont val="WenQuanYi Zen Hei"/>
        <family val="2"/>
      </rPr>
      <t xml:space="preserve">중점과제 → </t>
    </r>
    <r>
      <rPr>
        <sz val="10"/>
        <color rgb="FF000000"/>
        <rFont val="맑은 고딕"/>
        <family val="0"/>
        <charset val="1"/>
      </rPr>
      <t xml:space="preserve">05_LOSS</t>
    </r>
    <r>
      <rPr>
        <sz val="10"/>
        <color rgb="FF000000"/>
        <rFont val="WenQuanYi Zen Hei"/>
        <family val="2"/>
      </rPr>
      <t xml:space="preserve">효율시뮬 → </t>
    </r>
    <r>
      <rPr>
        <sz val="10"/>
        <color rgb="FF000000"/>
        <rFont val="맑은 고딕"/>
        <family val="0"/>
        <charset val="1"/>
      </rPr>
      <t xml:space="preserve">06_</t>
    </r>
    <r>
      <rPr>
        <sz val="10"/>
        <color rgb="FF000000"/>
        <rFont val="WenQuanYi Zen Hei"/>
        <family val="2"/>
      </rPr>
      <t xml:space="preserve">인력계획 → </t>
    </r>
    <r>
      <rPr>
        <sz val="10"/>
        <color rgb="FF000000"/>
        <rFont val="맑은 고딕"/>
        <family val="0"/>
        <charset val="1"/>
      </rPr>
      <t xml:space="preserve">07_</t>
    </r>
    <r>
      <rPr>
        <sz val="10"/>
        <color rgb="FF000000"/>
        <rFont val="WenQuanYi Zen Hei"/>
        <family val="2"/>
      </rPr>
      <t xml:space="preserve">리스크등록부 → </t>
    </r>
    <r>
      <rPr>
        <sz val="10"/>
        <color rgb="FF000000"/>
        <rFont val="맑은 고딕"/>
        <family val="0"/>
        <charset val="1"/>
      </rPr>
      <t xml:space="preserve">08_</t>
    </r>
    <r>
      <rPr>
        <sz val="10"/>
        <color rgb="FF000000"/>
        <rFont val="WenQuanYi Zen Hei"/>
        <family val="2"/>
      </rPr>
      <t xml:space="preserve">운영루틴</t>
    </r>
  </si>
  <si>
    <r>
      <rPr>
        <b val="true"/>
        <sz val="16"/>
        <color rgb="FF1F3864"/>
        <rFont val="맑은 고딕"/>
        <family val="0"/>
        <charset val="1"/>
      </rPr>
      <t xml:space="preserve">01. </t>
    </r>
    <r>
      <rPr>
        <b val="true"/>
        <sz val="16"/>
        <color rgb="FF1F3864"/>
        <rFont val="WenQuanYi Zen Hei"/>
        <family val="2"/>
      </rPr>
      <t xml:space="preserve">계획 기준</t>
    </r>
    <r>
      <rPr>
        <b val="true"/>
        <sz val="16"/>
        <color rgb="FF1F3864"/>
        <rFont val="맑은 고딕"/>
        <family val="0"/>
        <charset val="1"/>
      </rPr>
      <t xml:space="preserve">·</t>
    </r>
    <r>
      <rPr>
        <b val="true"/>
        <sz val="16"/>
        <color rgb="FF1F3864"/>
        <rFont val="WenQuanYi Zen Hei"/>
        <family val="2"/>
      </rPr>
      <t xml:space="preserve">전제 </t>
    </r>
    <r>
      <rPr>
        <b val="true"/>
        <sz val="16"/>
        <color rgb="FF1F3864"/>
        <rFont val="맑은 고딕"/>
        <family val="0"/>
        <charset val="1"/>
      </rPr>
      <t xml:space="preserve">(</t>
    </r>
    <r>
      <rPr>
        <b val="true"/>
        <sz val="16"/>
        <color rgb="FF1F3864"/>
        <rFont val="WenQuanYi Zen Hei"/>
        <family val="2"/>
      </rPr>
      <t xml:space="preserve">입력 시트</t>
    </r>
    <r>
      <rPr>
        <b val="true"/>
        <sz val="16"/>
        <color rgb="FF1F3864"/>
        <rFont val="맑은 고딕"/>
        <family val="0"/>
        <charset val="1"/>
      </rPr>
      <t xml:space="preserve">)</t>
    </r>
  </si>
  <si>
    <r>
      <rPr>
        <sz val="9"/>
        <color rgb="FF808080"/>
        <rFont val="WenQuanYi Zen Hei"/>
        <family val="2"/>
      </rPr>
      <t xml:space="preserve">노란 채움 </t>
    </r>
    <r>
      <rPr>
        <sz val="9"/>
        <color rgb="FF808080"/>
        <rFont val="맑은 고딕"/>
        <family val="0"/>
        <charset val="1"/>
      </rPr>
      <t xml:space="preserve">+ </t>
    </r>
    <r>
      <rPr>
        <sz val="9"/>
        <color rgb="FF808080"/>
        <rFont val="WenQuanYi Zen Hei"/>
        <family val="2"/>
      </rPr>
      <t xml:space="preserve">파란 글씨 셀만 수정한다</t>
    </r>
    <r>
      <rPr>
        <sz val="9"/>
        <color rgb="FF808080"/>
        <rFont val="맑은 고딕"/>
        <family val="0"/>
        <charset val="1"/>
      </rPr>
      <t xml:space="preserve">. </t>
    </r>
    <r>
      <rPr>
        <sz val="9"/>
        <color rgb="FF808080"/>
        <rFont val="WenQuanYi Zen Hei"/>
        <family val="2"/>
      </rPr>
      <t xml:space="preserve">이 값이 </t>
    </r>
    <r>
      <rPr>
        <sz val="9"/>
        <color rgb="FF808080"/>
        <rFont val="맑은 고딕"/>
        <family val="0"/>
        <charset val="1"/>
      </rPr>
      <t xml:space="preserve">02·05 </t>
    </r>
    <r>
      <rPr>
        <sz val="9"/>
        <color rgb="FF808080"/>
        <rFont val="WenQuanYi Zen Hei"/>
        <family val="2"/>
      </rPr>
      <t xml:space="preserve">시트로 전파된다</t>
    </r>
    <r>
      <rPr>
        <sz val="9"/>
        <color rgb="FF808080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</si>
  <si>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[1] </t>
    </r>
    <r>
      <rPr>
        <b val="true"/>
        <sz val="11"/>
        <color rgb="FF1F3864"/>
        <rFont val="WenQuanYi Zen Hei"/>
        <family val="2"/>
      </rPr>
      <t xml:space="preserve">계약 </t>
    </r>
    <r>
      <rPr>
        <b val="true"/>
        <sz val="11"/>
        <color rgb="FF1F3864"/>
        <rFont val="맑은 고딕"/>
        <family val="0"/>
        <charset val="1"/>
      </rPr>
      <t xml:space="preserve">4</t>
    </r>
    <r>
      <rPr>
        <b val="true"/>
        <sz val="11"/>
        <color rgb="FF1F3864"/>
        <rFont val="WenQuanYi Zen Hei"/>
        <family val="2"/>
      </rPr>
      <t xml:space="preserve">축 — 고객 </t>
    </r>
    <r>
      <rPr>
        <b val="true"/>
        <sz val="11"/>
        <color rgb="FF1F3864"/>
        <rFont val="맑은 고딕"/>
        <family val="0"/>
        <charset val="1"/>
      </rPr>
      <t xml:space="preserve">× </t>
    </r>
    <r>
      <rPr>
        <b val="true"/>
        <sz val="11"/>
        <color rgb="FF1F3864"/>
        <rFont val="WenQuanYi Zen Hei"/>
        <family val="2"/>
      </rPr>
      <t xml:space="preserve">계약유형</t>
    </r>
  </si>
  <si>
    <t xml:space="preserve">고객</t>
  </si>
  <si>
    <t xml:space="preserve">계약유형</t>
  </si>
  <si>
    <r>
      <rPr>
        <b val="true"/>
        <sz val="10"/>
        <color rgb="FFFFFFFF"/>
        <rFont val="WenQuanYi Zen Hei"/>
        <family val="2"/>
      </rPr>
      <t xml:space="preserve">인원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명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</si>
  <si>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임률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/M·H)</t>
    </r>
  </si>
  <si>
    <r>
      <rPr>
        <b val="true"/>
        <sz val="10"/>
        <color rgb="FFFFFFFF"/>
        <rFont val="WenQuanYi Zen Hei"/>
        <family val="2"/>
      </rPr>
      <t xml:space="preserve">월 총공수</t>
    </r>
    <r>
      <rPr>
        <b val="true"/>
        <sz val="10"/>
        <color rgb="FFFFFFFF"/>
        <rFont val="맑은 고딕"/>
        <family val="0"/>
        <charset val="1"/>
      </rPr>
      <t xml:space="preserve">(M·H)</t>
    </r>
  </si>
  <si>
    <r>
      <rPr>
        <b val="true"/>
        <sz val="10"/>
        <color rgb="FFFFFFFF"/>
        <rFont val="WenQuanYi Zen Hei"/>
        <family val="2"/>
      </rPr>
      <t xml:space="preserve">월 도급비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</si>
  <si>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출처</t>
    </r>
    <r>
      <rPr>
        <b val="true"/>
        <sz val="10"/>
        <color rgb="FFFFFFFF"/>
        <rFont val="맑은 고딕"/>
        <family val="0"/>
        <charset val="1"/>
      </rPr>
      <t xml:space="preserve">·</t>
    </r>
    <r>
      <rPr>
        <b val="true"/>
        <sz val="10"/>
        <color rgb="FFFFFFFF"/>
        <rFont val="WenQuanYi Zen Hei"/>
        <family val="2"/>
      </rPr>
      <t xml:space="preserve">근거</t>
    </r>
  </si>
  <si>
    <t xml:space="preserve">아모레퍼시픽</t>
  </si>
  <si>
    <t xml:space="preserve">생산도급</t>
  </si>
  <si>
    <r>
      <rPr>
        <sz val="9"/>
        <color rgb="FF808080"/>
        <rFont val="WenQuanYi Zen Hei"/>
        <family val="2"/>
      </rPr>
      <t xml:space="preserve">사용자 제공 </t>
    </r>
    <r>
      <rPr>
        <sz val="9"/>
        <color rgb="FF808080"/>
        <rFont val="맑은 고딕"/>
        <family val="0"/>
        <charset val="1"/>
      </rPr>
      <t xml:space="preserve">· BY26 </t>
    </r>
    <r>
      <rPr>
        <sz val="9"/>
        <color rgb="FF808080"/>
        <rFont val="WenQuanYi Zen Hei"/>
        <family val="2"/>
      </rPr>
      <t xml:space="preserve">실적 임률</t>
    </r>
  </si>
  <si>
    <t xml:space="preserve">업무도급</t>
  </si>
  <si>
    <r>
      <rPr>
        <sz val="9"/>
        <color rgb="FF808080"/>
        <rFont val="맑은 고딕"/>
        <family val="0"/>
        <charset val="1"/>
      </rPr>
      <t xml:space="preserve">AP </t>
    </r>
    <r>
      <rPr>
        <sz val="9"/>
        <color rgb="FF808080"/>
        <rFont val="WenQuanYi Zen Hei"/>
        <family val="2"/>
      </rPr>
      <t xml:space="preserve">임률 준용</t>
    </r>
    <r>
      <rPr>
        <sz val="9"/>
        <color rgb="FF808080"/>
        <rFont val="맑은 고딕"/>
        <family val="0"/>
        <charset val="1"/>
      </rPr>
      <t xml:space="preserve">(</t>
    </r>
    <r>
      <rPr>
        <sz val="9"/>
        <color rgb="FF808080"/>
        <rFont val="WenQuanYi Zen Hei"/>
        <family val="2"/>
      </rPr>
      <t xml:space="preserve">가정</t>
    </r>
    <r>
      <rPr>
        <sz val="9"/>
        <color rgb="FF808080"/>
        <rFont val="맑은 고딕"/>
        <family val="0"/>
        <charset val="1"/>
      </rPr>
      <t xml:space="preserve">) · BY27 </t>
    </r>
    <r>
      <rPr>
        <sz val="9"/>
        <color rgb="FF808080"/>
        <rFont val="WenQuanYi Zen Hei"/>
        <family val="2"/>
      </rPr>
      <t xml:space="preserve">계약 임률 입력 필요</t>
    </r>
  </si>
  <si>
    <t xml:space="preserve">코스비전</t>
  </si>
  <si>
    <r>
      <rPr>
        <sz val="9"/>
        <color rgb="FF808080"/>
        <rFont val="WenQuanYi Zen Hei"/>
        <family val="2"/>
      </rPr>
      <t xml:space="preserve">별도 임률 </t>
    </r>
    <r>
      <rPr>
        <sz val="9"/>
        <color rgb="FF808080"/>
        <rFont val="맑은 고딕"/>
        <family val="0"/>
        <charset val="1"/>
      </rPr>
      <t xml:space="preserve">· </t>
    </r>
    <r>
      <rPr>
        <sz val="9"/>
        <color rgb="FF808080"/>
        <rFont val="WenQuanYi Zen Hei"/>
        <family val="2"/>
      </rPr>
      <t xml:space="preserve">입력 필요</t>
    </r>
  </si>
  <si>
    <t xml:space="preserve">합계</t>
  </si>
  <si>
    <t xml:space="preserve">—</t>
  </si>
  <si>
    <t xml:space="preserve">임률이 다른 계약을 합산한 값 — 단가 비교에는 사용하지 말 것</t>
  </si>
  <si>
    <r>
      <rPr>
        <b val="true"/>
        <sz val="11"/>
        <color rgb="FF1F3864"/>
        <rFont val="맑은 고딕"/>
        <family val="0"/>
        <charset val="1"/>
      </rPr>
      <t xml:space="preserve">[2] </t>
    </r>
    <r>
      <rPr>
        <b val="true"/>
        <sz val="11"/>
        <color rgb="FF1F3864"/>
        <rFont val="WenQuanYi Zen Hei"/>
        <family val="2"/>
      </rPr>
      <t xml:space="preserve">운영 기준값</t>
    </r>
    <r>
      <rPr>
        <b val="true"/>
        <sz val="11"/>
        <color rgb="FF1F3864"/>
        <rFont val="맑은 고딕"/>
        <family val="0"/>
        <charset val="1"/>
      </rPr>
      <t xml:space="preserve">·</t>
    </r>
    <r>
      <rPr>
        <b val="true"/>
        <sz val="11"/>
        <color rgb="FF1F3864"/>
        <rFont val="WenQuanYi Zen Hei"/>
        <family val="2"/>
      </rPr>
      <t xml:space="preserve">가정</t>
    </r>
  </si>
  <si>
    <t xml:space="preserve">항목</t>
  </si>
  <si>
    <t xml:space="preserve">값</t>
  </si>
  <si>
    <t xml:space="preserve">단위</t>
  </si>
  <si>
    <r>
      <rPr>
        <sz val="10"/>
        <color rgb="FF000000"/>
        <rFont val="WenQuanYi Zen Hei"/>
        <family val="2"/>
      </rPr>
      <t xml:space="preserve">월 기준공수</t>
    </r>
    <r>
      <rPr>
        <sz val="10"/>
        <color rgb="FF000000"/>
        <rFont val="맑은 고딕"/>
        <family val="0"/>
        <charset val="1"/>
      </rPr>
      <t xml:space="preserve">(1</t>
    </r>
    <r>
      <rPr>
        <sz val="10"/>
        <color rgb="FF000000"/>
        <rFont val="WenQuanYi Zen Hei"/>
        <family val="2"/>
      </rPr>
      <t xml:space="preserve">인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</si>
  <si>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M·H</t>
  </si>
  <si>
    <r>
      <rPr>
        <sz val="9"/>
        <color rgb="FFFF0000"/>
        <rFont val="WenQuanYi Zen Hei"/>
        <family val="2"/>
      </rPr>
      <t xml:space="preserve">가정 </t>
    </r>
    <r>
      <rPr>
        <sz val="9"/>
        <color rgb="FFFF0000"/>
        <rFont val="맑은 고딕"/>
        <family val="0"/>
        <charset val="1"/>
      </rPr>
      <t xml:space="preserve">· </t>
    </r>
    <r>
      <rPr>
        <sz val="9"/>
        <color rgb="FFFF0000"/>
        <rFont val="WenQuanYi Zen Hei"/>
        <family val="2"/>
      </rPr>
      <t xml:space="preserve">주</t>
    </r>
    <r>
      <rPr>
        <sz val="9"/>
        <color rgb="FFFF0000"/>
        <rFont val="맑은 고딕"/>
        <family val="0"/>
        <charset val="1"/>
      </rPr>
      <t xml:space="preserve">40H×4.35</t>
    </r>
    <r>
      <rPr>
        <sz val="9"/>
        <color rgb="FFFF0000"/>
        <rFont val="WenQuanYi Zen Hei"/>
        <family val="2"/>
      </rPr>
      <t xml:space="preserve">주 기준</t>
    </r>
    <r>
      <rPr>
        <sz val="9"/>
        <color rgb="FFFF0000"/>
        <rFont val="맑은 고딕"/>
        <family val="0"/>
        <charset val="1"/>
      </rPr>
      <t xml:space="preserve">. </t>
    </r>
    <r>
      <rPr>
        <sz val="9"/>
        <color rgb="FFFF0000"/>
        <rFont val="WenQuanYi Zen Hei"/>
        <family val="2"/>
      </rPr>
      <t xml:space="preserve">실적 반영 시 수정</t>
    </r>
  </si>
  <si>
    <t xml:space="preserve">연 가동월수</t>
  </si>
  <si>
    <t xml:space="preserve">개월</t>
  </si>
  <si>
    <t xml:space="preserve">가정</t>
  </si>
  <si>
    <r>
      <rPr>
        <sz val="10"/>
        <color rgb="FF000000"/>
        <rFont val="맑은 고딕"/>
        <family val="0"/>
        <charset val="1"/>
      </rPr>
      <t xml:space="preserve">BY26 LOSS</t>
    </r>
    <r>
      <rPr>
        <sz val="10"/>
        <color rgb="FF000000"/>
        <rFont val="WenQuanYi Zen Hei"/>
        <family val="2"/>
      </rPr>
      <t xml:space="preserve">율</t>
    </r>
  </si>
  <si>
    <t xml:space="preserve">%</t>
  </si>
  <si>
    <r>
      <rPr>
        <sz val="9"/>
        <color rgb="FFFF0000"/>
        <rFont val="WenQuanYi Zen Hei"/>
        <family val="2"/>
      </rPr>
      <t xml:space="preserve">가정</t>
    </r>
    <r>
      <rPr>
        <sz val="9"/>
        <color rgb="FFFF0000"/>
        <rFont val="맑은 고딕"/>
        <family val="0"/>
        <charset val="1"/>
      </rPr>
      <t xml:space="preserve">(</t>
    </r>
    <r>
      <rPr>
        <sz val="9"/>
        <color rgb="FFFF0000"/>
        <rFont val="WenQuanYi Zen Hei"/>
        <family val="2"/>
      </rPr>
      <t xml:space="preserve">플레이스홀더</t>
    </r>
    <r>
      <rPr>
        <sz val="9"/>
        <color rgb="FFFF0000"/>
        <rFont val="맑은 고딕"/>
        <family val="0"/>
        <charset val="1"/>
      </rPr>
      <t xml:space="preserve">) · BY26 MES </t>
    </r>
    <r>
      <rPr>
        <sz val="9"/>
        <color rgb="FFFF0000"/>
        <rFont val="WenQuanYi Zen Hei"/>
        <family val="2"/>
      </rPr>
      <t xml:space="preserve">실적 입력 필요</t>
    </r>
  </si>
  <si>
    <r>
      <rPr>
        <sz val="10"/>
        <color rgb="FF000000"/>
        <rFont val="맑은 고딕"/>
        <family val="0"/>
        <charset val="1"/>
      </rPr>
      <t xml:space="preserve">BY26 </t>
    </r>
    <r>
      <rPr>
        <sz val="10"/>
        <color rgb="FF000000"/>
        <rFont val="WenQuanYi Zen Hei"/>
        <family val="2"/>
      </rPr>
      <t xml:space="preserve">원청귀책 </t>
    </r>
    <r>
      <rPr>
        <sz val="10"/>
        <color rgb="FF000000"/>
        <rFont val="맑은 고딕"/>
        <family val="0"/>
        <charset val="1"/>
      </rPr>
      <t xml:space="preserve">LOSS </t>
    </r>
    <r>
      <rPr>
        <sz val="10"/>
        <color rgb="FF000000"/>
        <rFont val="WenQuanYi Zen Hei"/>
        <family val="2"/>
      </rPr>
      <t xml:space="preserve">비중</t>
    </r>
  </si>
  <si>
    <r>
      <rPr>
        <sz val="9"/>
        <color rgb="FF808080"/>
        <rFont val="WenQuanYi Zen Hei"/>
        <family val="2"/>
      </rPr>
      <t xml:space="preserve">사용자 제공 </t>
    </r>
    <r>
      <rPr>
        <sz val="9"/>
        <color rgb="FF808080"/>
        <rFont val="맑은 고딕"/>
        <family val="0"/>
        <charset val="1"/>
      </rPr>
      <t xml:space="preserve">· BY26 MES 8</t>
    </r>
    <r>
      <rPr>
        <sz val="9"/>
        <color rgb="FF808080"/>
        <rFont val="WenQuanYi Zen Hei"/>
        <family val="2"/>
      </rPr>
      <t xml:space="preserve">개월 귀속분석 실적</t>
    </r>
  </si>
  <si>
    <r>
      <rPr>
        <sz val="10"/>
        <color rgb="FF000000"/>
        <rFont val="맑은 고딕"/>
        <family val="0"/>
        <charset val="1"/>
      </rPr>
      <t xml:space="preserve">BY26 </t>
    </r>
    <r>
      <rPr>
        <sz val="10"/>
        <color rgb="FF000000"/>
        <rFont val="WenQuanYi Zen Hei"/>
        <family val="2"/>
      </rPr>
      <t xml:space="preserve">실효율</t>
    </r>
  </si>
  <si>
    <r>
      <rPr>
        <sz val="9"/>
        <color rgb="FFFF0000"/>
        <rFont val="WenQuanYi Zen Hei"/>
        <family val="2"/>
      </rPr>
      <t xml:space="preserve">가정</t>
    </r>
    <r>
      <rPr>
        <sz val="9"/>
        <color rgb="FFFF0000"/>
        <rFont val="맑은 고딕"/>
        <family val="0"/>
        <charset val="1"/>
      </rPr>
      <t xml:space="preserve">(</t>
    </r>
    <r>
      <rPr>
        <sz val="9"/>
        <color rgb="FFFF0000"/>
        <rFont val="WenQuanYi Zen Hei"/>
        <family val="2"/>
      </rPr>
      <t xml:space="preserve">플레이스홀더</t>
    </r>
    <r>
      <rPr>
        <sz val="9"/>
        <color rgb="FFFF0000"/>
        <rFont val="맑은 고딕"/>
        <family val="0"/>
        <charset val="1"/>
      </rPr>
      <t xml:space="preserve">) · </t>
    </r>
    <r>
      <rPr>
        <sz val="9"/>
        <color rgb="FFFF0000"/>
        <rFont val="WenQuanYi Zen Hei"/>
        <family val="2"/>
      </rPr>
      <t xml:space="preserve">라인 실적 입력 필요</t>
    </r>
  </si>
  <si>
    <r>
      <rPr>
        <sz val="10"/>
        <color rgb="FF000000"/>
        <rFont val="맑은 고딕"/>
        <family val="0"/>
        <charset val="1"/>
      </rPr>
      <t xml:space="preserve">BY27 </t>
    </r>
    <r>
      <rPr>
        <sz val="10"/>
        <color rgb="FF000000"/>
        <rFont val="WenQuanYi Zen Hei"/>
        <family val="2"/>
      </rPr>
      <t xml:space="preserve">목표효율</t>
    </r>
  </si>
  <si>
    <r>
      <rPr>
        <sz val="9"/>
        <color rgb="FF808080"/>
        <rFont val="WenQuanYi Zen Hei"/>
        <family val="2"/>
      </rPr>
      <t xml:space="preserve">목표값 </t>
    </r>
    <r>
      <rPr>
        <sz val="9"/>
        <color rgb="FF808080"/>
        <rFont val="맑은 고딕"/>
        <family val="0"/>
        <charset val="1"/>
      </rPr>
      <t xml:space="preserve">· </t>
    </r>
    <r>
      <rPr>
        <sz val="9"/>
        <color rgb="FF808080"/>
        <rFont val="WenQuanYi Zen Hei"/>
        <family val="2"/>
      </rPr>
      <t xml:space="preserve">라인별 재설정 후 확정</t>
    </r>
    <r>
      <rPr>
        <sz val="9"/>
        <color rgb="FF808080"/>
        <rFont val="맑은 고딕"/>
        <family val="0"/>
        <charset val="1"/>
      </rPr>
      <t xml:space="preserve">(</t>
    </r>
    <r>
      <rPr>
        <sz val="9"/>
        <color rgb="FF808080"/>
        <rFont val="WenQuanYi Zen Hei"/>
        <family val="2"/>
      </rPr>
      <t xml:space="preserve">과제 </t>
    </r>
    <r>
      <rPr>
        <sz val="9"/>
        <color rgb="FF808080"/>
        <rFont val="맑은 고딕"/>
        <family val="0"/>
        <charset val="1"/>
      </rPr>
      <t xml:space="preserve">A-03)</t>
    </r>
  </si>
  <si>
    <r>
      <rPr>
        <sz val="10"/>
        <color rgb="FF000000"/>
        <rFont val="맑은 고딕"/>
        <family val="0"/>
        <charset val="1"/>
      </rPr>
      <t xml:space="preserve">BY26 </t>
    </r>
    <r>
      <rPr>
        <sz val="10"/>
        <color rgb="FF000000"/>
        <rFont val="WenQuanYi Zen Hei"/>
        <family val="2"/>
      </rPr>
      <t xml:space="preserve">월평균 결원율</t>
    </r>
  </si>
  <si>
    <r>
      <rPr>
        <sz val="9"/>
        <color rgb="FFFF0000"/>
        <rFont val="WenQuanYi Zen Hei"/>
        <family val="2"/>
      </rPr>
      <t xml:space="preserve">가정</t>
    </r>
    <r>
      <rPr>
        <sz val="9"/>
        <color rgb="FFFF0000"/>
        <rFont val="맑은 고딕"/>
        <family val="0"/>
        <charset val="1"/>
      </rPr>
      <t xml:space="preserve">(</t>
    </r>
    <r>
      <rPr>
        <sz val="9"/>
        <color rgb="FFFF0000"/>
        <rFont val="WenQuanYi Zen Hei"/>
        <family val="2"/>
      </rPr>
      <t xml:space="preserve">플레이스홀더</t>
    </r>
    <r>
      <rPr>
        <sz val="9"/>
        <color rgb="FFFF0000"/>
        <rFont val="맑은 고딕"/>
        <family val="0"/>
        <charset val="1"/>
      </rPr>
      <t xml:space="preserve">) · </t>
    </r>
    <r>
      <rPr>
        <sz val="9"/>
        <color rgb="FFFF0000"/>
        <rFont val="WenQuanYi Zen Hei"/>
        <family val="2"/>
      </rPr>
      <t xml:space="preserve">실적 입력 필요</t>
    </r>
  </si>
  <si>
    <r>
      <rPr>
        <sz val="10"/>
        <color rgb="FF000000"/>
        <rFont val="맑은 고딕"/>
        <family val="0"/>
        <charset val="1"/>
      </rPr>
      <t xml:space="preserve">BY26 </t>
    </r>
    <r>
      <rPr>
        <sz val="10"/>
        <color rgb="FF000000"/>
        <rFont val="WenQuanYi Zen Hei"/>
        <family val="2"/>
      </rPr>
      <t xml:space="preserve">월평균 이직률</t>
    </r>
  </si>
  <si>
    <r>
      <rPr>
        <sz val="10"/>
        <color rgb="FF000000"/>
        <rFont val="맑은 고딕"/>
        <family val="0"/>
        <charset val="1"/>
      </rPr>
      <t xml:space="preserve">BY26 </t>
    </r>
    <r>
      <rPr>
        <sz val="10"/>
        <color rgb="FF000000"/>
        <rFont val="WenQuanYi Zen Hei"/>
        <family val="2"/>
      </rPr>
      <t xml:space="preserve">다능공 보유율</t>
    </r>
  </si>
  <si>
    <r>
      <rPr>
        <sz val="9"/>
        <color rgb="FFFF0000"/>
        <rFont val="WenQuanYi Zen Hei"/>
        <family val="2"/>
      </rPr>
      <t xml:space="preserve">가정</t>
    </r>
    <r>
      <rPr>
        <sz val="9"/>
        <color rgb="FFFF0000"/>
        <rFont val="맑은 고딕"/>
        <family val="0"/>
        <charset val="1"/>
      </rPr>
      <t xml:space="preserve">(</t>
    </r>
    <r>
      <rPr>
        <sz val="9"/>
        <color rgb="FFFF0000"/>
        <rFont val="WenQuanYi Zen Hei"/>
        <family val="2"/>
      </rPr>
      <t xml:space="preserve">플레이스홀더</t>
    </r>
    <r>
      <rPr>
        <sz val="9"/>
        <color rgb="FFFF0000"/>
        <rFont val="맑은 고딕"/>
        <family val="0"/>
        <charset val="1"/>
      </rPr>
      <t xml:space="preserve">) · </t>
    </r>
    <r>
      <rPr>
        <sz val="9"/>
        <color rgb="FFFF0000"/>
        <rFont val="WenQuanYi Zen Hei"/>
        <family val="2"/>
      </rPr>
      <t xml:space="preserve">스킬매트릭스 집계 필요</t>
    </r>
  </si>
  <si>
    <r>
      <rPr>
        <sz val="10"/>
        <color rgb="FF000000"/>
        <rFont val="맑은 고딕"/>
        <family val="0"/>
        <charset val="1"/>
      </rPr>
      <t xml:space="preserve">BY26 </t>
    </r>
    <r>
      <rPr>
        <sz val="10"/>
        <color rgb="FF000000"/>
        <rFont val="WenQuanYi Zen Hei"/>
        <family val="2"/>
      </rPr>
      <t xml:space="preserve">산재 건수</t>
    </r>
  </si>
  <si>
    <t xml:space="preserve">건</t>
  </si>
  <si>
    <r>
      <rPr>
        <sz val="10"/>
        <color rgb="FF000000"/>
        <rFont val="맑은 고딕"/>
        <family val="0"/>
        <charset val="1"/>
      </rPr>
      <t xml:space="preserve">BY26 </t>
    </r>
    <r>
      <rPr>
        <sz val="10"/>
        <color rgb="FF000000"/>
        <rFont val="WenQuanYi Zen Hei"/>
        <family val="2"/>
      </rPr>
      <t xml:space="preserve">도급귀책 품질클레임</t>
    </r>
  </si>
  <si>
    <r>
      <rPr>
        <sz val="10"/>
        <color rgb="FF000000"/>
        <rFont val="맑은 고딕"/>
        <family val="0"/>
        <charset val="1"/>
      </rPr>
      <t xml:space="preserve">BY26 </t>
    </r>
    <r>
      <rPr>
        <sz val="10"/>
        <color rgb="FF000000"/>
        <rFont val="WenQuanYi Zen Hei"/>
        <family val="2"/>
      </rPr>
      <t xml:space="preserve">월마감 리드타임</t>
    </r>
  </si>
  <si>
    <t xml:space="preserve">일</t>
  </si>
  <si>
    <r>
      <rPr>
        <sz val="10"/>
        <color rgb="FF000000"/>
        <rFont val="맑은 고딕"/>
        <family val="0"/>
        <charset val="1"/>
      </rPr>
      <t xml:space="preserve">BY26 </t>
    </r>
    <r>
      <rPr>
        <sz val="10"/>
        <color rgb="FF000000"/>
        <rFont val="WenQuanYi Zen Hei"/>
        <family val="2"/>
      </rPr>
      <t xml:space="preserve">단가인상률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생산도급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</si>
  <si>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9"/>
        <color rgb="FF808080"/>
        <rFont val="WenQuanYi Zen Hei"/>
        <family val="2"/>
      </rPr>
      <t xml:space="preserve">사용자 제공 </t>
    </r>
    <r>
      <rPr>
        <sz val="9"/>
        <color rgb="FF808080"/>
        <rFont val="맑은 고딕"/>
        <family val="0"/>
        <charset val="1"/>
      </rPr>
      <t xml:space="preserve">· AP BY26 </t>
    </r>
    <r>
      <rPr>
        <sz val="9"/>
        <color rgb="FF808080"/>
        <rFont val="WenQuanYi Zen Hei"/>
        <family val="2"/>
      </rPr>
      <t xml:space="preserve">협상 실적</t>
    </r>
  </si>
  <si>
    <r>
      <rPr>
        <sz val="10"/>
        <color rgb="FF000000"/>
        <rFont val="맑은 고딕"/>
        <family val="0"/>
        <charset val="1"/>
      </rPr>
      <t xml:space="preserve">BY26 </t>
    </r>
    <r>
      <rPr>
        <sz val="10"/>
        <color rgb="FF000000"/>
        <rFont val="WenQuanYi Zen Hei"/>
        <family val="2"/>
      </rPr>
      <t xml:space="preserve">단가인상률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업무도급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</si>
  <si>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WenQuanYi Zen Hei"/>
        <family val="2"/>
      </rPr>
      <t xml:space="preserve">도급귀책 </t>
    </r>
    <r>
      <rPr>
        <sz val="10"/>
        <color rgb="FF000000"/>
        <rFont val="맑은 고딕"/>
        <family val="0"/>
        <charset val="1"/>
      </rPr>
      <t xml:space="preserve">LOSS </t>
    </r>
    <r>
      <rPr>
        <sz val="10"/>
        <color rgb="FF000000"/>
        <rFont val="WenQuanYi Zen Hei"/>
        <family val="2"/>
      </rPr>
      <t xml:space="preserve">저감 목표율</t>
    </r>
  </si>
  <si>
    <r>
      <rPr>
        <sz val="9"/>
        <color rgb="FF808080"/>
        <rFont val="WenQuanYi Zen Hei"/>
        <family val="2"/>
      </rPr>
      <t xml:space="preserve">목표값 </t>
    </r>
    <r>
      <rPr>
        <sz val="9"/>
        <color rgb="FF808080"/>
        <rFont val="맑은 고딕"/>
        <family val="0"/>
        <charset val="1"/>
      </rPr>
      <t xml:space="preserve">· </t>
    </r>
    <r>
      <rPr>
        <sz val="9"/>
        <color rgb="FF808080"/>
        <rFont val="WenQuanYi Zen Hei"/>
        <family val="2"/>
      </rPr>
      <t xml:space="preserve">과제 </t>
    </r>
    <r>
      <rPr>
        <sz val="9"/>
        <color rgb="FF808080"/>
        <rFont val="맑은 고딕"/>
        <family val="0"/>
        <charset val="1"/>
      </rPr>
      <t xml:space="preserve">A-02</t>
    </r>
  </si>
  <si>
    <t xml:space="preserve">범례</t>
  </si>
  <si>
    <t xml:space="preserve">입력 셀</t>
  </si>
  <si>
    <t xml:space="preserve">수식</t>
  </si>
  <si>
    <t xml:space="preserve">타 시트 참조</t>
  </si>
  <si>
    <r>
      <rPr>
        <sz val="9"/>
        <color rgb="FFFF0000"/>
        <rFont val="WenQuanYi Zen Hei"/>
        <family val="2"/>
      </rPr>
      <t xml:space="preserve">빨간 </t>
    </r>
    <r>
      <rPr>
        <sz val="9"/>
        <color rgb="FFFF0000"/>
        <rFont val="맑은 고딕"/>
        <family val="0"/>
        <charset val="1"/>
      </rPr>
      <t xml:space="preserve">'</t>
    </r>
    <r>
      <rPr>
        <sz val="9"/>
        <color rgb="FFFF0000"/>
        <rFont val="WenQuanYi Zen Hei"/>
        <family val="2"/>
      </rPr>
      <t xml:space="preserve">출처</t>
    </r>
    <r>
      <rPr>
        <sz val="9"/>
        <color rgb="FFFF0000"/>
        <rFont val="맑은 고딕"/>
        <family val="0"/>
        <charset val="1"/>
      </rPr>
      <t xml:space="preserve">·</t>
    </r>
    <r>
      <rPr>
        <sz val="9"/>
        <color rgb="FFFF0000"/>
        <rFont val="WenQuanYi Zen Hei"/>
        <family val="2"/>
      </rPr>
      <t xml:space="preserve">근거</t>
    </r>
    <r>
      <rPr>
        <sz val="9"/>
        <color rgb="FFFF0000"/>
        <rFont val="맑은 고딕"/>
        <family val="0"/>
        <charset val="1"/>
      </rPr>
      <t xml:space="preserve">' = </t>
    </r>
    <r>
      <rPr>
        <sz val="9"/>
        <color rgb="FFFF0000"/>
        <rFont val="WenQuanYi Zen Hei"/>
        <family val="2"/>
      </rPr>
      <t xml:space="preserve">플레이스홀더</t>
    </r>
    <r>
      <rPr>
        <sz val="9"/>
        <color rgb="FFFF0000"/>
        <rFont val="맑은 고딕"/>
        <family val="0"/>
        <charset val="1"/>
      </rPr>
      <t xml:space="preserve">(</t>
    </r>
    <r>
      <rPr>
        <sz val="9"/>
        <color rgb="FFFF0000"/>
        <rFont val="WenQuanYi Zen Hei"/>
        <family val="2"/>
      </rPr>
      <t xml:space="preserve">가정</t>
    </r>
    <r>
      <rPr>
        <sz val="9"/>
        <color rgb="FFFF0000"/>
        <rFont val="맑은 고딕"/>
        <family val="0"/>
        <charset val="1"/>
      </rPr>
      <t xml:space="preserve">). BY26 </t>
    </r>
    <r>
      <rPr>
        <sz val="9"/>
        <color rgb="FFFF0000"/>
        <rFont val="WenQuanYi Zen Hei"/>
        <family val="2"/>
      </rPr>
      <t xml:space="preserve">실적을 확보하는 즉시 교체할 것</t>
    </r>
    <r>
      <rPr>
        <sz val="9"/>
        <color rgb="FFFF0000"/>
        <rFont val="맑은 고딕"/>
        <family val="0"/>
        <charset val="1"/>
      </rPr>
      <t xml:space="preserve">.</t>
    </r>
  </si>
  <si>
    <r>
      <rPr>
        <b val="true"/>
        <sz val="16"/>
        <color rgb="FF1F3864"/>
        <rFont val="맑은 고딕"/>
        <family val="0"/>
        <charset val="1"/>
      </rPr>
      <t xml:space="preserve">02. BY27 KPI </t>
    </r>
    <r>
      <rPr>
        <b val="true"/>
        <sz val="16"/>
        <color rgb="FF1F3864"/>
        <rFont val="WenQuanYi Zen Hei"/>
        <family val="2"/>
      </rPr>
      <t xml:space="preserve">목표 </t>
    </r>
    <r>
      <rPr>
        <b val="true"/>
        <sz val="16"/>
        <color rgb="FF1F3864"/>
        <rFont val="맑은 고딕"/>
        <family val="0"/>
        <charset val="1"/>
      </rPr>
      <t xml:space="preserve">· </t>
    </r>
    <r>
      <rPr>
        <b val="true"/>
        <sz val="16"/>
        <color rgb="FF1F3864"/>
        <rFont val="WenQuanYi Zen Hei"/>
        <family val="2"/>
      </rPr>
      <t xml:space="preserve">월별 실적</t>
    </r>
  </si>
  <si>
    <r>
      <rPr>
        <sz val="9"/>
        <color rgb="FF808080"/>
        <rFont val="WenQuanYi Zen Hei"/>
        <family val="2"/>
      </rPr>
      <t xml:space="preserve">기준값은 </t>
    </r>
    <r>
      <rPr>
        <sz val="9"/>
        <color rgb="FF808080"/>
        <rFont val="맑은 고딕"/>
        <family val="0"/>
        <charset val="1"/>
      </rPr>
      <t xml:space="preserve">01_</t>
    </r>
    <r>
      <rPr>
        <sz val="9"/>
        <color rgb="FF808080"/>
        <rFont val="WenQuanYi Zen Hei"/>
        <family val="2"/>
      </rPr>
      <t xml:space="preserve">기준전제에서 자동 참조</t>
    </r>
    <r>
      <rPr>
        <sz val="9"/>
        <color rgb="FF808080"/>
        <rFont val="맑은 고딕"/>
        <family val="0"/>
        <charset val="1"/>
      </rPr>
      <t xml:space="preserve">. </t>
    </r>
    <r>
      <rPr>
        <sz val="9"/>
        <color rgb="FF808080"/>
        <rFont val="WenQuanYi Zen Hei"/>
        <family val="2"/>
      </rPr>
      <t xml:space="preserve">월별 실적을 입력하면 연평균</t>
    </r>
    <r>
      <rPr>
        <sz val="9"/>
        <color rgb="FF808080"/>
        <rFont val="맑은 고딕"/>
        <family val="0"/>
        <charset val="1"/>
      </rPr>
      <t xml:space="preserve">·</t>
    </r>
    <r>
      <rPr>
        <sz val="9"/>
        <color rgb="FF808080"/>
        <rFont val="WenQuanYi Zen Hei"/>
        <family val="2"/>
      </rPr>
      <t xml:space="preserve">달성률이 산출된다</t>
    </r>
    <r>
      <rPr>
        <sz val="9"/>
        <color rgb="FF808080"/>
        <rFont val="맑은 고딕"/>
        <family val="0"/>
        <charset val="1"/>
      </rPr>
      <t xml:space="preserve">.</t>
    </r>
  </si>
  <si>
    <t xml:space="preserve">ID</t>
  </si>
  <si>
    <t xml:space="preserve">축</t>
  </si>
  <si>
    <t xml:space="preserve">산식</t>
  </si>
  <si>
    <r>
      <rPr>
        <b val="true"/>
        <sz val="10"/>
        <color rgb="FFFFFFFF"/>
        <rFont val="맑은 고딕"/>
        <family val="0"/>
        <charset val="1"/>
      </rPr>
      <t xml:space="preserve">BY26 </t>
    </r>
    <r>
      <rPr>
        <b val="true"/>
        <sz val="10"/>
        <color rgb="FFFFFFFF"/>
        <rFont val="WenQuanYi Zen Hei"/>
        <family val="2"/>
      </rPr>
      <t xml:space="preserve">기준</t>
    </r>
  </si>
  <si>
    <r>
      <rPr>
        <b val="true"/>
        <sz val="10"/>
        <color rgb="FFFFFFFF"/>
        <rFont val="맑은 고딕"/>
        <family val="0"/>
        <charset val="1"/>
      </rPr>
      <t xml:space="preserve">BY27 </t>
    </r>
    <r>
      <rPr>
        <b val="true"/>
        <sz val="10"/>
        <color rgb="FFFFFFFF"/>
        <rFont val="WenQuanYi Zen Hei"/>
        <family val="2"/>
      </rPr>
      <t xml:space="preserve">목표</t>
    </r>
  </si>
  <si>
    <t xml:space="preserve">목표 설정근거</t>
  </si>
  <si>
    <r>
      <rPr>
        <b val="true"/>
        <sz val="10"/>
        <color rgb="FFFFFFFF"/>
        <rFont val="맑은 고딕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</si>
  <si>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맑은 고딕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</si>
  <si>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맑은 고딕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</si>
  <si>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맑은 고딕"/>
        <family val="0"/>
        <charset val="1"/>
      </rPr>
      <t xml:space="preserve">4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</si>
  <si>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맑은 고딕"/>
        <family val="0"/>
        <charset val="1"/>
      </rPr>
      <t xml:space="preserve">5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</si>
  <si>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맑은 고딕"/>
        <family val="0"/>
        <charset val="1"/>
      </rPr>
      <t xml:space="preserve">6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</si>
  <si>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맑은 고딕"/>
        <family val="0"/>
        <charset val="1"/>
      </rPr>
      <t xml:space="preserve">7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</si>
  <si>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맑은 고딕"/>
        <family val="0"/>
        <charset val="1"/>
      </rPr>
      <t xml:space="preserve">8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</si>
  <si>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맑은 고딕"/>
        <family val="0"/>
        <charset val="1"/>
      </rPr>
      <t xml:space="preserve">9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</si>
  <si>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맑은 고딕"/>
        <family val="0"/>
        <charset val="1"/>
      </rPr>
      <t xml:space="preserve">10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</si>
  <si>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맑은 고딕"/>
        <family val="0"/>
        <charset val="1"/>
      </rPr>
      <t xml:space="preserve">11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</si>
  <si>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맑은 고딕"/>
        <family val="0"/>
        <charset val="1"/>
      </rPr>
      <t xml:space="preserve">12</t>
    </r>
    <r>
      <rPr>
        <b val="true"/>
        <sz val="10"/>
        <color rgb="FFFFFFFF"/>
        <rFont val="WenQuanYi Zen Hei"/>
        <family val="2"/>
      </rPr>
      <t xml:space="preserve">월</t>
    </r>
  </si>
  <si>
    <r>
      <rPr>
        <b val="true"/>
        <sz val="10"/>
        <color rgb="FFFFFFFF"/>
        <rFont val="WenQuanYi Zen Hei"/>
        <family val="2"/>
      </rPr>
      <t xml:space="preserve">연평균</t>
    </r>
    <r>
      <rPr>
        <b val="true"/>
        <sz val="10"/>
        <color rgb="FFFFFFFF"/>
        <rFont val="맑은 고딕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계</t>
    </r>
  </si>
  <si>
    <t xml:space="preserve">달성률</t>
  </si>
  <si>
    <t xml:space="preserve">K01</t>
  </si>
  <si>
    <t xml:space="preserve">P1</t>
  </si>
  <si>
    <r>
      <rPr>
        <sz val="10"/>
        <color rgb="FF000000"/>
        <rFont val="맑은 고딕"/>
        <family val="0"/>
        <charset val="1"/>
      </rPr>
      <t xml:space="preserve">LOSS</t>
    </r>
    <r>
      <rPr>
        <sz val="10"/>
        <color rgb="FF000000"/>
        <rFont val="WenQuanYi Zen Hei"/>
        <family val="2"/>
      </rPr>
      <t xml:space="preserve">율</t>
    </r>
  </si>
  <si>
    <r>
      <rPr>
        <sz val="9"/>
        <color rgb="FF808080"/>
        <rFont val="맑은 고딕"/>
        <family val="0"/>
        <charset val="1"/>
      </rPr>
      <t xml:space="preserve">LOSS </t>
    </r>
    <r>
      <rPr>
        <sz val="9"/>
        <color rgb="FF808080"/>
        <rFont val="WenQuanYi Zen Hei"/>
        <family val="2"/>
      </rPr>
      <t xml:space="preserve">공수 </t>
    </r>
    <r>
      <rPr>
        <sz val="9"/>
        <color rgb="FF808080"/>
        <rFont val="맑은 고딕"/>
        <family val="0"/>
        <charset val="1"/>
      </rPr>
      <t xml:space="preserve">÷ </t>
    </r>
    <r>
      <rPr>
        <sz val="9"/>
        <color rgb="FF808080"/>
        <rFont val="WenQuanYi Zen Hei"/>
        <family val="2"/>
      </rPr>
      <t xml:space="preserve">총 투입공수</t>
    </r>
  </si>
  <si>
    <r>
      <rPr>
        <sz val="9"/>
        <color rgb="FF808080"/>
        <rFont val="WenQuanYi Zen Hei"/>
        <family val="2"/>
      </rPr>
      <t xml:space="preserve">기준 </t>
    </r>
    <r>
      <rPr>
        <sz val="9"/>
        <color rgb="FF808080"/>
        <rFont val="맑은 고딕"/>
        <family val="0"/>
        <charset val="1"/>
      </rPr>
      <t xml:space="preserve">× 0.85</t>
    </r>
  </si>
  <si>
    <t xml:space="preserve">K02</t>
  </si>
  <si>
    <r>
      <rPr>
        <sz val="10"/>
        <color rgb="FF000000"/>
        <rFont val="WenQuanYi Zen Hei"/>
        <family val="2"/>
      </rPr>
      <t xml:space="preserve">도급귀책 </t>
    </r>
    <r>
      <rPr>
        <sz val="10"/>
        <color rgb="FF000000"/>
        <rFont val="맑은 고딕"/>
        <family val="0"/>
        <charset val="1"/>
      </rPr>
      <t xml:space="preserve">LOSS </t>
    </r>
    <r>
      <rPr>
        <sz val="10"/>
        <color rgb="FF000000"/>
        <rFont val="WenQuanYi Zen Hei"/>
        <family val="2"/>
      </rPr>
      <t xml:space="preserve">공수</t>
    </r>
  </si>
  <si>
    <r>
      <rPr>
        <sz val="9"/>
        <color rgb="FF808080"/>
        <rFont val="맑은 고딕"/>
        <family val="0"/>
        <charset val="1"/>
      </rPr>
      <t xml:space="preserve">LOSS </t>
    </r>
    <r>
      <rPr>
        <sz val="9"/>
        <color rgb="FF808080"/>
        <rFont val="WenQuanYi Zen Hei"/>
        <family val="2"/>
      </rPr>
      <t xml:space="preserve">공수 </t>
    </r>
    <r>
      <rPr>
        <sz val="9"/>
        <color rgb="FF808080"/>
        <rFont val="맑은 고딕"/>
        <family val="0"/>
        <charset val="1"/>
      </rPr>
      <t xml:space="preserve">× </t>
    </r>
    <r>
      <rPr>
        <sz val="9"/>
        <color rgb="FF808080"/>
        <rFont val="WenQuanYi Zen Hei"/>
        <family val="2"/>
      </rPr>
      <t xml:space="preserve">도급귀책 비중</t>
    </r>
  </si>
  <si>
    <t xml:space="preserve">K03</t>
  </si>
  <si>
    <r>
      <rPr>
        <sz val="10"/>
        <color rgb="FF000000"/>
        <rFont val="WenQuanYi Zen Hei"/>
        <family val="2"/>
      </rPr>
      <t xml:space="preserve">원청귀책 </t>
    </r>
    <r>
      <rPr>
        <sz val="10"/>
        <color rgb="FF000000"/>
        <rFont val="맑은 고딕"/>
        <family val="0"/>
        <charset val="1"/>
      </rPr>
      <t xml:space="preserve">LOSS </t>
    </r>
    <r>
      <rPr>
        <sz val="10"/>
        <color rgb="FF000000"/>
        <rFont val="WenQuanYi Zen Hei"/>
        <family val="2"/>
      </rPr>
      <t xml:space="preserve">비중</t>
    </r>
  </si>
  <si>
    <r>
      <rPr>
        <sz val="9"/>
        <color rgb="FF808080"/>
        <rFont val="WenQuanYi Zen Hei"/>
        <family val="2"/>
      </rPr>
      <t xml:space="preserve">원청귀책 </t>
    </r>
    <r>
      <rPr>
        <sz val="9"/>
        <color rgb="FF808080"/>
        <rFont val="맑은 고딕"/>
        <family val="0"/>
        <charset val="1"/>
      </rPr>
      <t xml:space="preserve">LOSS ÷ </t>
    </r>
    <r>
      <rPr>
        <sz val="9"/>
        <color rgb="FF808080"/>
        <rFont val="WenQuanYi Zen Hei"/>
        <family val="2"/>
      </rPr>
      <t xml:space="preserve">전체 </t>
    </r>
    <r>
      <rPr>
        <sz val="9"/>
        <color rgb="FF808080"/>
        <rFont val="맑은 고딕"/>
        <family val="0"/>
        <charset val="1"/>
      </rPr>
      <t xml:space="preserve">LOSS</t>
    </r>
  </si>
  <si>
    <r>
      <rPr>
        <sz val="9"/>
        <color rgb="FF808080"/>
        <rFont val="WenQuanYi Zen Hei"/>
        <family val="2"/>
      </rPr>
      <t xml:space="preserve">근거 유지</t>
    </r>
    <r>
      <rPr>
        <sz val="9"/>
        <color rgb="FF808080"/>
        <rFont val="맑은 고딕"/>
        <family val="0"/>
        <charset val="1"/>
      </rPr>
      <t xml:space="preserve">·</t>
    </r>
    <r>
      <rPr>
        <sz val="9"/>
        <color rgb="FF808080"/>
        <rFont val="WenQuanYi Zen Hei"/>
        <family val="2"/>
      </rPr>
      <t xml:space="preserve">확대</t>
    </r>
  </si>
  <si>
    <t xml:space="preserve">K04</t>
  </si>
  <si>
    <t xml:space="preserve">실효율</t>
  </si>
  <si>
    <r>
      <rPr>
        <sz val="9"/>
        <color rgb="FF808080"/>
        <rFont val="WenQuanYi Zen Hei"/>
        <family val="2"/>
      </rPr>
      <t xml:space="preserve">실적공수 </t>
    </r>
    <r>
      <rPr>
        <sz val="9"/>
        <color rgb="FF808080"/>
        <rFont val="맑은 고딕"/>
        <family val="0"/>
        <charset val="1"/>
      </rPr>
      <t xml:space="preserve">÷ </t>
    </r>
    <r>
      <rPr>
        <sz val="9"/>
        <color rgb="FF808080"/>
        <rFont val="WenQuanYi Zen Hei"/>
        <family val="2"/>
      </rPr>
      <t xml:space="preserve">표준공수</t>
    </r>
  </si>
  <si>
    <r>
      <rPr>
        <sz val="9"/>
        <color rgb="FF808080"/>
        <rFont val="WenQuanYi Zen Hei"/>
        <family val="2"/>
      </rPr>
      <t xml:space="preserve">기준 </t>
    </r>
    <r>
      <rPr>
        <sz val="9"/>
        <color rgb="FF808080"/>
        <rFont val="맑은 고딕"/>
        <family val="0"/>
        <charset val="1"/>
      </rPr>
      <t xml:space="preserve">+ 2.0%p</t>
    </r>
  </si>
  <si>
    <t xml:space="preserve">K05</t>
  </si>
  <si>
    <t xml:space="preserve">P2</t>
  </si>
  <si>
    <t xml:space="preserve">월평균 결원율</t>
  </si>
  <si>
    <r>
      <rPr>
        <sz val="9"/>
        <color rgb="FF808080"/>
        <rFont val="WenQuanYi Zen Hei"/>
        <family val="2"/>
      </rPr>
      <t xml:space="preserve">결원 </t>
    </r>
    <r>
      <rPr>
        <sz val="9"/>
        <color rgb="FF808080"/>
        <rFont val="맑은 고딕"/>
        <family val="0"/>
        <charset val="1"/>
      </rPr>
      <t xml:space="preserve">÷ </t>
    </r>
    <r>
      <rPr>
        <sz val="9"/>
        <color rgb="FF808080"/>
        <rFont val="WenQuanYi Zen Hei"/>
        <family val="2"/>
      </rPr>
      <t xml:space="preserve">정원</t>
    </r>
  </si>
  <si>
    <r>
      <rPr>
        <sz val="9"/>
        <color rgb="FF808080"/>
        <rFont val="맑은 고딕"/>
        <family val="0"/>
        <charset val="1"/>
      </rPr>
      <t xml:space="preserve">3.0% </t>
    </r>
    <r>
      <rPr>
        <sz val="9"/>
        <color rgb="FF808080"/>
        <rFont val="WenQuanYi Zen Hei"/>
        <family val="2"/>
      </rPr>
      <t xml:space="preserve">이하</t>
    </r>
  </si>
  <si>
    <t xml:space="preserve">K06</t>
  </si>
  <si>
    <t xml:space="preserve">월평균 이직률</t>
  </si>
  <si>
    <r>
      <rPr>
        <sz val="9"/>
        <color rgb="FF808080"/>
        <rFont val="WenQuanYi Zen Hei"/>
        <family val="2"/>
      </rPr>
      <t xml:space="preserve">퇴사 </t>
    </r>
    <r>
      <rPr>
        <sz val="9"/>
        <color rgb="FF808080"/>
        <rFont val="맑은 고딕"/>
        <family val="0"/>
        <charset val="1"/>
      </rPr>
      <t xml:space="preserve">÷ </t>
    </r>
    <r>
      <rPr>
        <sz val="9"/>
        <color rgb="FF808080"/>
        <rFont val="WenQuanYi Zen Hei"/>
        <family val="2"/>
      </rPr>
      <t xml:space="preserve">평균 재직</t>
    </r>
  </si>
  <si>
    <r>
      <rPr>
        <sz val="9"/>
        <color rgb="FF808080"/>
        <rFont val="맑은 고딕"/>
        <family val="0"/>
        <charset val="1"/>
      </rPr>
      <t xml:space="preserve">3.5% </t>
    </r>
    <r>
      <rPr>
        <sz val="9"/>
        <color rgb="FF808080"/>
        <rFont val="WenQuanYi Zen Hei"/>
        <family val="2"/>
      </rPr>
      <t xml:space="preserve">이하</t>
    </r>
  </si>
  <si>
    <t xml:space="preserve">K07</t>
  </si>
  <si>
    <t xml:space="preserve">다능공 보유율</t>
  </si>
  <si>
    <r>
      <rPr>
        <sz val="9"/>
        <color rgb="FF808080"/>
        <rFont val="맑은 고딕"/>
        <family val="0"/>
        <charset val="1"/>
      </rPr>
      <t xml:space="preserve">2</t>
    </r>
    <r>
      <rPr>
        <sz val="9"/>
        <color rgb="FF808080"/>
        <rFont val="WenQuanYi Zen Hei"/>
        <family val="2"/>
      </rPr>
      <t xml:space="preserve">공정 이상 가능 인원 </t>
    </r>
    <r>
      <rPr>
        <sz val="9"/>
        <color rgb="FF808080"/>
        <rFont val="맑은 고딕"/>
        <family val="0"/>
        <charset val="1"/>
      </rPr>
      <t xml:space="preserve">÷ </t>
    </r>
    <r>
      <rPr>
        <sz val="9"/>
        <color rgb="FF808080"/>
        <rFont val="WenQuanYi Zen Hei"/>
        <family val="2"/>
      </rPr>
      <t xml:space="preserve">총원</t>
    </r>
  </si>
  <si>
    <r>
      <rPr>
        <sz val="9"/>
        <color rgb="FF808080"/>
        <rFont val="맑은 고딕"/>
        <family val="0"/>
        <charset val="1"/>
      </rPr>
      <t xml:space="preserve">60% </t>
    </r>
    <r>
      <rPr>
        <sz val="9"/>
        <color rgb="FF808080"/>
        <rFont val="WenQuanYi Zen Hei"/>
        <family val="2"/>
      </rPr>
      <t xml:space="preserve">이상</t>
    </r>
  </si>
  <si>
    <t xml:space="preserve">K08</t>
  </si>
  <si>
    <t xml:space="preserve">P3</t>
  </si>
  <si>
    <t xml:space="preserve">중대재해</t>
  </si>
  <si>
    <t xml:space="preserve">발생 건수</t>
  </si>
  <si>
    <r>
      <rPr>
        <sz val="9"/>
        <color rgb="FF808080"/>
        <rFont val="맑은 고딕"/>
        <family val="0"/>
        <charset val="1"/>
      </rPr>
      <t xml:space="preserve">0</t>
    </r>
    <r>
      <rPr>
        <sz val="9"/>
        <color rgb="FF808080"/>
        <rFont val="WenQuanYi Zen Hei"/>
        <family val="2"/>
      </rPr>
      <t xml:space="preserve">건</t>
    </r>
  </si>
  <si>
    <t xml:space="preserve">K09</t>
  </si>
  <si>
    <t xml:space="preserve">산재 건수</t>
  </si>
  <si>
    <r>
      <rPr>
        <sz val="9"/>
        <color rgb="FF808080"/>
        <rFont val="WenQuanYi Zen Hei"/>
        <family val="2"/>
      </rPr>
      <t xml:space="preserve">기준 </t>
    </r>
    <r>
      <rPr>
        <sz val="9"/>
        <color rgb="FF808080"/>
        <rFont val="맑은 고딕"/>
        <family val="0"/>
        <charset val="1"/>
      </rPr>
      <t xml:space="preserve">× 0.70</t>
    </r>
  </si>
  <si>
    <t xml:space="preserve">K10</t>
  </si>
  <si>
    <t xml:space="preserve">도급귀책 품질클레임</t>
  </si>
  <si>
    <t xml:space="preserve">도급귀책 판정 건수</t>
  </si>
  <si>
    <t xml:space="preserve">K11</t>
  </si>
  <si>
    <t xml:space="preserve">P4</t>
  </si>
  <si>
    <t xml:space="preserve">월마감 리드타임</t>
  </si>
  <si>
    <t xml:space="preserve">마감 완료일 − 월말</t>
  </si>
  <si>
    <r>
      <rPr>
        <sz val="9"/>
        <color rgb="FF808080"/>
        <rFont val="맑은 고딕"/>
        <family val="0"/>
        <charset val="1"/>
      </rPr>
      <t xml:space="preserve">3</t>
    </r>
    <r>
      <rPr>
        <sz val="9"/>
        <color rgb="FF808080"/>
        <rFont val="WenQuanYi Zen Hei"/>
        <family val="2"/>
      </rPr>
      <t xml:space="preserve">일 이내</t>
    </r>
  </si>
  <si>
    <t xml:space="preserve">K12</t>
  </si>
  <si>
    <t xml:space="preserve">P5</t>
  </si>
  <si>
    <t xml:space="preserve">주간계획 업로드 준수율</t>
  </si>
  <si>
    <r>
      <rPr>
        <sz val="9"/>
        <color rgb="FF808080"/>
        <rFont val="WenQuanYi Zen Hei"/>
        <family val="2"/>
      </rPr>
      <t xml:space="preserve">업로드 주차 </t>
    </r>
    <r>
      <rPr>
        <sz val="9"/>
        <color rgb="FF808080"/>
        <rFont val="맑은 고딕"/>
        <family val="0"/>
        <charset val="1"/>
      </rPr>
      <t xml:space="preserve">÷ </t>
    </r>
    <r>
      <rPr>
        <sz val="9"/>
        <color rgb="FF808080"/>
        <rFont val="WenQuanYi Zen Hei"/>
        <family val="2"/>
      </rPr>
      <t xml:space="preserve">전체 주차</t>
    </r>
  </si>
  <si>
    <r>
      <rPr>
        <sz val="9"/>
        <color rgb="FF808080"/>
        <rFont val="맑은 고딕"/>
        <family val="0"/>
        <charset val="1"/>
      </rPr>
      <t xml:space="preserve">95% </t>
    </r>
    <r>
      <rPr>
        <sz val="9"/>
        <color rgb="FF808080"/>
        <rFont val="WenQuanYi Zen Hei"/>
        <family val="2"/>
      </rPr>
      <t xml:space="preserve">이상</t>
    </r>
  </si>
  <si>
    <t xml:space="preserve">주</t>
  </si>
  <si>
    <r>
      <rPr>
        <sz val="9"/>
        <color rgb="FF808080"/>
        <rFont val="WenQuanYi Zen Hei"/>
        <family val="2"/>
      </rPr>
      <t xml:space="preserve">달성률</t>
    </r>
    <r>
      <rPr>
        <sz val="9"/>
        <color rgb="FF808080"/>
        <rFont val="맑은 고딕"/>
        <family val="0"/>
        <charset val="1"/>
      </rPr>
      <t xml:space="preserve">: </t>
    </r>
    <r>
      <rPr>
        <sz val="9"/>
        <color rgb="FF808080"/>
        <rFont val="WenQuanYi Zen Hei"/>
        <family val="2"/>
      </rPr>
      <t xml:space="preserve">낮을수록 좋은 </t>
    </r>
    <r>
      <rPr>
        <sz val="9"/>
        <color rgb="FF808080"/>
        <rFont val="맑은 고딕"/>
        <family val="0"/>
        <charset val="1"/>
      </rPr>
      <t xml:space="preserve">KPI(LOSS</t>
    </r>
    <r>
      <rPr>
        <sz val="9"/>
        <color rgb="FF808080"/>
        <rFont val="WenQuanYi Zen Hei"/>
        <family val="2"/>
      </rPr>
      <t xml:space="preserve">율</t>
    </r>
    <r>
      <rPr>
        <sz val="9"/>
        <color rgb="FF808080"/>
        <rFont val="맑은 고딕"/>
        <family val="0"/>
        <charset val="1"/>
      </rPr>
      <t xml:space="preserve">·</t>
    </r>
    <r>
      <rPr>
        <sz val="9"/>
        <color rgb="FF808080"/>
        <rFont val="WenQuanYi Zen Hei"/>
        <family val="2"/>
      </rPr>
      <t xml:space="preserve">결원율</t>
    </r>
    <r>
      <rPr>
        <sz val="9"/>
        <color rgb="FF808080"/>
        <rFont val="맑은 고딕"/>
        <family val="0"/>
        <charset val="1"/>
      </rPr>
      <t xml:space="preserve">·</t>
    </r>
    <r>
      <rPr>
        <sz val="9"/>
        <color rgb="FF808080"/>
        <rFont val="WenQuanYi Zen Hei"/>
        <family val="2"/>
      </rPr>
      <t xml:space="preserve">이직률</t>
    </r>
    <r>
      <rPr>
        <sz val="9"/>
        <color rgb="FF808080"/>
        <rFont val="맑은 고딕"/>
        <family val="0"/>
        <charset val="1"/>
      </rPr>
      <t xml:space="preserve">·</t>
    </r>
    <r>
      <rPr>
        <sz val="9"/>
        <color rgb="FF808080"/>
        <rFont val="WenQuanYi Zen Hei"/>
        <family val="2"/>
      </rPr>
      <t xml:space="preserve">산재</t>
    </r>
    <r>
      <rPr>
        <sz val="9"/>
        <color rgb="FF808080"/>
        <rFont val="맑은 고딕"/>
        <family val="0"/>
        <charset val="1"/>
      </rPr>
      <t xml:space="preserve">·</t>
    </r>
    <r>
      <rPr>
        <sz val="9"/>
        <color rgb="FF808080"/>
        <rFont val="WenQuanYi Zen Hei"/>
        <family val="2"/>
      </rPr>
      <t xml:space="preserve">클레임</t>
    </r>
    <r>
      <rPr>
        <sz val="9"/>
        <color rgb="FF808080"/>
        <rFont val="맑은 고딕"/>
        <family val="0"/>
        <charset val="1"/>
      </rPr>
      <t xml:space="preserve">·</t>
    </r>
    <r>
      <rPr>
        <sz val="9"/>
        <color rgb="FF808080"/>
        <rFont val="WenQuanYi Zen Hei"/>
        <family val="2"/>
      </rPr>
      <t xml:space="preserve">마감일</t>
    </r>
    <r>
      <rPr>
        <sz val="9"/>
        <color rgb="FF808080"/>
        <rFont val="맑은 고딕"/>
        <family val="0"/>
        <charset val="1"/>
      </rPr>
      <t xml:space="preserve">)</t>
    </r>
    <r>
      <rPr>
        <sz val="9"/>
        <color rgb="FF808080"/>
        <rFont val="WenQuanYi Zen Hei"/>
        <family val="2"/>
      </rPr>
      <t xml:space="preserve">는 목표</t>
    </r>
    <r>
      <rPr>
        <sz val="9"/>
        <color rgb="FF808080"/>
        <rFont val="맑은 고딕"/>
        <family val="0"/>
        <charset val="1"/>
      </rPr>
      <t xml:space="preserve">÷</t>
    </r>
    <r>
      <rPr>
        <sz val="9"/>
        <color rgb="FF808080"/>
        <rFont val="WenQuanYi Zen Hei"/>
        <family val="2"/>
      </rPr>
      <t xml:space="preserve">실적</t>
    </r>
    <r>
      <rPr>
        <sz val="9"/>
        <color rgb="FF808080"/>
        <rFont val="맑은 고딕"/>
        <family val="0"/>
        <charset val="1"/>
      </rPr>
      <t xml:space="preserve">, </t>
    </r>
    <r>
      <rPr>
        <sz val="9"/>
        <color rgb="FF808080"/>
        <rFont val="WenQuanYi Zen Hei"/>
        <family val="2"/>
      </rPr>
      <t xml:space="preserve">높을수록 좋은 </t>
    </r>
    <r>
      <rPr>
        <sz val="9"/>
        <color rgb="FF808080"/>
        <rFont val="맑은 고딕"/>
        <family val="0"/>
        <charset val="1"/>
      </rPr>
      <t xml:space="preserve">KPI</t>
    </r>
    <r>
      <rPr>
        <sz val="9"/>
        <color rgb="FF808080"/>
        <rFont val="WenQuanYi Zen Hei"/>
        <family val="2"/>
      </rPr>
      <t xml:space="preserve">는 실적</t>
    </r>
    <r>
      <rPr>
        <sz val="9"/>
        <color rgb="FF808080"/>
        <rFont val="맑은 고딕"/>
        <family val="0"/>
        <charset val="1"/>
      </rPr>
      <t xml:space="preserve">÷</t>
    </r>
    <r>
      <rPr>
        <sz val="9"/>
        <color rgb="FF808080"/>
        <rFont val="WenQuanYi Zen Hei"/>
        <family val="2"/>
      </rPr>
      <t xml:space="preserve">목표</t>
    </r>
    <r>
      <rPr>
        <sz val="9"/>
        <color rgb="FF808080"/>
        <rFont val="맑은 고딕"/>
        <family val="0"/>
        <charset val="1"/>
      </rPr>
      <t xml:space="preserve">. 100% </t>
    </r>
    <r>
      <rPr>
        <sz val="9"/>
        <color rgb="FF808080"/>
        <rFont val="WenQuanYi Zen Hei"/>
        <family val="2"/>
      </rPr>
      <t xml:space="preserve">이상이면 목표 달성</t>
    </r>
    <r>
      <rPr>
        <sz val="9"/>
        <color rgb="FF808080"/>
        <rFont val="맑은 고딕"/>
        <family val="0"/>
        <charset val="1"/>
      </rPr>
      <t xml:space="preserve">. </t>
    </r>
    <r>
      <rPr>
        <sz val="9"/>
        <color rgb="FF808080"/>
        <rFont val="WenQuanYi Zen Hei"/>
        <family val="2"/>
      </rPr>
      <t xml:space="preserve">중대재해는 </t>
    </r>
    <r>
      <rPr>
        <sz val="9"/>
        <color rgb="FF808080"/>
        <rFont val="맑은 고딕"/>
        <family val="0"/>
        <charset val="1"/>
      </rPr>
      <t xml:space="preserve">0</t>
    </r>
    <r>
      <rPr>
        <sz val="9"/>
        <color rgb="FF808080"/>
        <rFont val="WenQuanYi Zen Hei"/>
        <family val="2"/>
      </rPr>
      <t xml:space="preserve">건일 때만 </t>
    </r>
    <r>
      <rPr>
        <sz val="9"/>
        <color rgb="FF808080"/>
        <rFont val="맑은 고딕"/>
        <family val="0"/>
        <charset val="1"/>
      </rPr>
      <t xml:space="preserve">100%.</t>
    </r>
  </si>
  <si>
    <r>
      <rPr>
        <b val="true"/>
        <sz val="16"/>
        <color rgb="FF1F3864"/>
        <rFont val="맑은 고딕"/>
        <family val="0"/>
        <charset val="1"/>
      </rPr>
      <t xml:space="preserve">03. BY27 </t>
    </r>
    <r>
      <rPr>
        <b val="true"/>
        <sz val="16"/>
        <color rgb="FF1F3864"/>
        <rFont val="WenQuanYi Zen Hei"/>
        <family val="2"/>
      </rPr>
      <t xml:space="preserve">연간 마스터 스케줄</t>
    </r>
  </si>
  <si>
    <r>
      <rPr>
        <sz val="9"/>
        <color rgb="FF808080"/>
        <rFont val="WenQuanYi Zen Hei"/>
        <family val="2"/>
      </rPr>
      <t xml:space="preserve">월 </t>
    </r>
    <r>
      <rPr>
        <sz val="9"/>
        <color rgb="FF808080"/>
        <rFont val="맑은 고딕"/>
        <family val="0"/>
        <charset val="1"/>
      </rPr>
      <t xml:space="preserve">× </t>
    </r>
    <r>
      <rPr>
        <sz val="9"/>
        <color rgb="FF808080"/>
        <rFont val="WenQuanYi Zen Hei"/>
        <family val="2"/>
      </rPr>
      <t xml:space="preserve">운영축 기준 핵심 업무</t>
    </r>
    <r>
      <rPr>
        <sz val="9"/>
        <color rgb="FF808080"/>
        <rFont val="맑은 고딕"/>
        <family val="0"/>
        <charset val="1"/>
      </rPr>
      <t xml:space="preserve">. </t>
    </r>
    <r>
      <rPr>
        <sz val="9"/>
        <color rgb="FF808080"/>
        <rFont val="WenQuanYi Zen Hei"/>
        <family val="2"/>
      </rPr>
      <t xml:space="preserve">분기 마감</t>
    </r>
    <r>
      <rPr>
        <sz val="9"/>
        <color rgb="FF808080"/>
        <rFont val="맑은 고딕"/>
        <family val="0"/>
        <charset val="1"/>
      </rPr>
      <t xml:space="preserve">·</t>
    </r>
    <r>
      <rPr>
        <sz val="9"/>
        <color rgb="FF808080"/>
        <rFont val="WenQuanYi Zen Hei"/>
        <family val="2"/>
      </rPr>
      <t xml:space="preserve">법정 일정</t>
    </r>
    <r>
      <rPr>
        <sz val="9"/>
        <color rgb="FF808080"/>
        <rFont val="맑은 고딕"/>
        <family val="0"/>
        <charset val="1"/>
      </rPr>
      <t xml:space="preserve">·</t>
    </r>
    <r>
      <rPr>
        <sz val="9"/>
        <color rgb="FF808080"/>
        <rFont val="WenQuanYi Zen Hei"/>
        <family val="2"/>
      </rPr>
      <t xml:space="preserve">협상 일정을 축으로 배치했다</t>
    </r>
    <r>
      <rPr>
        <sz val="9"/>
        <color rgb="FF808080"/>
        <rFont val="맑은 고딕"/>
        <family val="0"/>
        <charset val="1"/>
      </rPr>
      <t xml:space="preserve">.</t>
    </r>
  </si>
  <si>
    <t xml:space="preserve">월</t>
  </si>
  <si>
    <t xml:space="preserve">운영축</t>
  </si>
  <si>
    <t xml:space="preserve">핵심 업무</t>
  </si>
  <si>
    <t xml:space="preserve">분기</t>
  </si>
  <si>
    <t xml:space="preserve">고정 일정</t>
  </si>
  <si>
    <r>
      <rPr>
        <b val="true"/>
        <sz val="11"/>
        <color rgb="FF1F3864"/>
        <rFont val="맑은 고딕"/>
        <family val="0"/>
        <charset val="1"/>
      </rPr>
      <t xml:space="preserve">1</t>
    </r>
    <r>
      <rPr>
        <b val="true"/>
        <sz val="11"/>
        <color rgb="FF1F3864"/>
        <rFont val="WenQuanYi Zen Hei"/>
        <family val="2"/>
      </rPr>
      <t xml:space="preserve">월</t>
    </r>
  </si>
  <si>
    <r>
      <rPr>
        <sz val="9"/>
        <color rgb="FF000000"/>
        <rFont val="WenQuanYi Zen Hei"/>
        <family val="2"/>
      </rPr>
      <t xml:space="preserve">생산성</t>
    </r>
    <r>
      <rPr>
        <sz val="9"/>
        <color rgb="FF000000"/>
        <rFont val="맑은 고딕"/>
        <family val="0"/>
        <charset val="1"/>
      </rPr>
      <t xml:space="preserve">·LOSS</t>
    </r>
  </si>
  <si>
    <r>
      <rPr>
        <sz val="10"/>
        <color rgb="FF000000"/>
        <rFont val="맑은 고딕"/>
        <family val="0"/>
        <charset val="1"/>
      </rPr>
      <t xml:space="preserve">BY27 LOSS </t>
    </r>
    <r>
      <rPr>
        <sz val="10"/>
        <color rgb="FF000000"/>
        <rFont val="WenQuanYi Zen Hei"/>
        <family val="2"/>
      </rPr>
      <t xml:space="preserve">사유코드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귀책룰 확정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시스템 반영</t>
    </r>
  </si>
  <si>
    <t xml:space="preserve">Q1</t>
  </si>
  <si>
    <t xml:space="preserve">안전보건계획</t>
  </si>
  <si>
    <r>
      <rPr>
        <sz val="9"/>
        <color rgb="FF000000"/>
        <rFont val="WenQuanYi Zen Hei"/>
        <family val="2"/>
      </rPr>
      <t xml:space="preserve">인력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조직</t>
    </r>
  </si>
  <si>
    <r>
      <rPr>
        <sz val="10"/>
        <color rgb="FF000000"/>
        <rFont val="WenQuanYi Zen Hei"/>
        <family val="2"/>
      </rPr>
      <t xml:space="preserve">조직</t>
    </r>
    <r>
      <rPr>
        <sz val="10"/>
        <color rgb="FF000000"/>
        <rFont val="맑은 고딕"/>
        <family val="0"/>
        <charset val="1"/>
      </rPr>
      <t xml:space="preserve">·R&amp;R </t>
    </r>
    <r>
      <rPr>
        <sz val="10"/>
        <color rgb="FF000000"/>
        <rFont val="WenQuanYi Zen Hei"/>
        <family val="2"/>
      </rPr>
      <t xml:space="preserve">확정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연간 교육계획 수립</t>
    </r>
  </si>
  <si>
    <r>
      <rPr>
        <sz val="9"/>
        <color rgb="FF000000"/>
        <rFont val="WenQuanYi Zen Hei"/>
        <family val="2"/>
      </rPr>
      <t xml:space="preserve">품질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안전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노무</t>
    </r>
  </si>
  <si>
    <r>
      <rPr>
        <sz val="10"/>
        <color rgb="FF000000"/>
        <rFont val="WenQuanYi Zen Hei"/>
        <family val="2"/>
      </rPr>
      <t xml:space="preserve">연간 안전보건계획 수립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게시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위험성평가 연간계획</t>
    </r>
  </si>
  <si>
    <r>
      <rPr>
        <sz val="9"/>
        <color rgb="FF000000"/>
        <rFont val="WenQuanYi Zen Hei"/>
        <family val="2"/>
      </rPr>
      <t xml:space="preserve">원가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정산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단가</t>
    </r>
  </si>
  <si>
    <r>
      <rPr>
        <sz val="10"/>
        <color rgb="FF000000"/>
        <rFont val="맑은 고딕"/>
        <family val="0"/>
        <charset val="1"/>
      </rPr>
      <t xml:space="preserve">BY27 </t>
    </r>
    <r>
      <rPr>
        <sz val="10"/>
        <color rgb="FF000000"/>
        <rFont val="WenQuanYi Zen Hei"/>
        <family val="2"/>
      </rPr>
      <t xml:space="preserve">단가 적용 개시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청구기준 재확인</t>
    </r>
  </si>
  <si>
    <r>
      <rPr>
        <sz val="9"/>
        <color rgb="FF000000"/>
        <rFont val="WenQuanYi Zen Hei"/>
        <family val="2"/>
      </rPr>
      <t xml:space="preserve">표준화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디지털</t>
    </r>
  </si>
  <si>
    <r>
      <rPr>
        <sz val="10"/>
        <color rgb="FF000000"/>
        <rFont val="WenQuanYi Zen Hei"/>
        <family val="2"/>
      </rPr>
      <t xml:space="preserve">월간 경영보고 템플릿 </t>
    </r>
    <r>
      <rPr>
        <sz val="10"/>
        <color rgb="FF000000"/>
        <rFont val="맑은 고딕"/>
        <family val="0"/>
        <charset val="1"/>
      </rPr>
      <t xml:space="preserve">v27 </t>
    </r>
    <r>
      <rPr>
        <sz val="10"/>
        <color rgb="FF000000"/>
        <rFont val="WenQuanYi Zen Hei"/>
        <family val="2"/>
      </rPr>
      <t xml:space="preserve">배포</t>
    </r>
  </si>
  <si>
    <r>
      <rPr>
        <b val="true"/>
        <sz val="11"/>
        <color rgb="FF1F3864"/>
        <rFont val="맑은 고딕"/>
        <family val="0"/>
        <charset val="1"/>
      </rPr>
      <t xml:space="preserve">2</t>
    </r>
    <r>
      <rPr>
        <b val="true"/>
        <sz val="11"/>
        <color rgb="FF1F3864"/>
        <rFont val="WenQuanYi Zen Hei"/>
        <family val="2"/>
      </rPr>
      <t xml:space="preserve">월</t>
    </r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</si>
  <si>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월 </t>
    </r>
    <r>
      <rPr>
        <sz val="10"/>
        <color rgb="FF000000"/>
        <rFont val="맑은 고딕"/>
        <family val="0"/>
        <charset val="1"/>
      </rPr>
      <t xml:space="preserve">LOSS </t>
    </r>
    <r>
      <rPr>
        <sz val="10"/>
        <color rgb="FF000000"/>
        <rFont val="WenQuanYi Zen Hei"/>
        <family val="2"/>
      </rPr>
      <t xml:space="preserve">귀속리포트 최초 발행</t>
    </r>
  </si>
  <si>
    <t xml:space="preserve">설 연휴</t>
  </si>
  <si>
    <r>
      <rPr>
        <sz val="10"/>
        <color rgb="FF000000"/>
        <rFont val="WenQuanYi Zen Hei"/>
        <family val="2"/>
      </rPr>
      <t xml:space="preserve">설 연휴 인력운영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스킬매트릭스 기준 확정</t>
    </r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</si>
  <si>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분기 정기 안전보건교육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법정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</si>
  <si>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월 마감 정산 검증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고객</t>
    </r>
    <r>
      <rPr>
        <sz val="10"/>
        <color rgb="FF000000"/>
        <rFont val="맑은 고딕"/>
        <family val="0"/>
        <charset val="1"/>
      </rPr>
      <t xml:space="preserve">×</t>
    </r>
    <r>
      <rPr>
        <sz val="10"/>
        <color rgb="FF000000"/>
        <rFont val="WenQuanYi Zen Hei"/>
        <family val="2"/>
      </rPr>
      <t xml:space="preserve">계약유형 </t>
    </r>
    <r>
      <rPr>
        <sz val="10"/>
        <color rgb="FF000000"/>
        <rFont val="맑은 고딕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축</t>
    </r>
    <r>
      <rPr>
        <sz val="10"/>
        <color rgb="FF000000"/>
        <rFont val="맑은 고딕"/>
        <family val="0"/>
        <charset val="1"/>
      </rPr>
      <t xml:space="preserve">)</t>
    </r>
  </si>
  <si>
    <t xml:space="preserve">주간계획 업로드 프로세스 현장 정착</t>
  </si>
  <si>
    <r>
      <rPr>
        <b val="true"/>
        <sz val="11"/>
        <color rgb="FF1F3864"/>
        <rFont val="맑은 고딕"/>
        <family val="0"/>
        <charset val="1"/>
      </rPr>
      <t xml:space="preserve">3</t>
    </r>
    <r>
      <rPr>
        <b val="true"/>
        <sz val="11"/>
        <color rgb="FF1F3864"/>
        <rFont val="WenQuanYi Zen Hei"/>
        <family val="2"/>
      </rPr>
      <t xml:space="preserve">월</t>
    </r>
  </si>
  <si>
    <r>
      <rPr>
        <sz val="10"/>
        <color rgb="FF000000"/>
        <rFont val="WenQuanYi Zen Hei"/>
        <family val="2"/>
      </rPr>
      <t xml:space="preserve">도급귀책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WenQuanYi Zen Hei"/>
        <family val="2"/>
      </rPr>
      <t xml:space="preserve">대 항목 개선 착수</t>
    </r>
  </si>
  <si>
    <r>
      <rPr>
        <b val="true"/>
        <sz val="9"/>
        <color rgb="FFC00000"/>
        <rFont val="맑은 고딕"/>
        <family val="0"/>
        <charset val="1"/>
      </rPr>
      <t xml:space="preserve">1Q </t>
    </r>
    <r>
      <rPr>
        <b val="true"/>
        <sz val="9"/>
        <color rgb="FFC00000"/>
        <rFont val="WenQuanYi Zen Hei"/>
        <family val="2"/>
      </rPr>
      <t xml:space="preserve">경영보고</t>
    </r>
  </si>
  <si>
    <r>
      <rPr>
        <sz val="10"/>
        <color rgb="FF000000"/>
        <rFont val="맑은 고딕"/>
        <family val="0"/>
        <charset val="1"/>
      </rPr>
      <t xml:space="preserve">1Q </t>
    </r>
    <r>
      <rPr>
        <sz val="10"/>
        <color rgb="FF000000"/>
        <rFont val="WenQuanYi Zen Hei"/>
        <family val="2"/>
      </rPr>
      <t xml:space="preserve">결원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이직 리뷰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채용 리드타임 개선</t>
    </r>
  </si>
  <si>
    <r>
      <rPr>
        <sz val="10"/>
        <color rgb="FF000000"/>
        <rFont val="WenQuanYi Zen Hei"/>
        <family val="2"/>
      </rPr>
      <t xml:space="preserve">위험성평가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정기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실시</t>
    </r>
  </si>
  <si>
    <r>
      <rPr>
        <sz val="10"/>
        <color rgb="FF000000"/>
        <rFont val="맑은 고딕"/>
        <family val="0"/>
        <charset val="1"/>
      </rPr>
      <t xml:space="preserve">1Q </t>
    </r>
    <r>
      <rPr>
        <sz val="10"/>
        <color rgb="FF000000"/>
        <rFont val="WenQuanYi Zen Hei"/>
        <family val="2"/>
      </rPr>
      <t xml:space="preserve">마감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본사 경영보고</t>
    </r>
  </si>
  <si>
    <t xml:space="preserve">조치추적 운영지표화</t>
  </si>
  <si>
    <r>
      <rPr>
        <b val="true"/>
        <sz val="11"/>
        <color rgb="FF1F3864"/>
        <rFont val="맑은 고딕"/>
        <family val="0"/>
        <charset val="1"/>
      </rPr>
      <t xml:space="preserve">4</t>
    </r>
    <r>
      <rPr>
        <b val="true"/>
        <sz val="11"/>
        <color rgb="FF1F3864"/>
        <rFont val="WenQuanYi Zen Hei"/>
        <family val="2"/>
      </rPr>
      <t xml:space="preserve">월</t>
    </r>
  </si>
  <si>
    <t xml:space="preserve">라인별 목표효율 재설정</t>
  </si>
  <si>
    <t xml:space="preserve">Q2</t>
  </si>
  <si>
    <t xml:space="preserve">하절기 준비</t>
  </si>
  <si>
    <r>
      <rPr>
        <sz val="10"/>
        <color rgb="FF000000"/>
        <rFont val="WenQuanYi Zen Hei"/>
        <family val="2"/>
      </rPr>
      <t xml:space="preserve">다능공 교육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차</t>
    </r>
  </si>
  <si>
    <r>
      <rPr>
        <sz val="10"/>
        <color rgb="FF000000"/>
        <rFont val="WenQuanYi Zen Hei"/>
        <family val="2"/>
      </rPr>
      <t xml:space="preserve">하절기 대응계획 수립</t>
    </r>
    <r>
      <rPr>
        <sz val="10"/>
        <color rgb="FF000000"/>
        <rFont val="맑은 고딕"/>
        <family val="0"/>
        <charset val="1"/>
      </rPr>
      <t xml:space="preserve">(HeatWatch </t>
    </r>
    <r>
      <rPr>
        <sz val="10"/>
        <color rgb="FF000000"/>
        <rFont val="WenQuanYi Zen Hei"/>
        <family val="2"/>
      </rPr>
      <t xml:space="preserve">세팅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물품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</si>
  <si>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1Q </t>
    </r>
    <r>
      <rPr>
        <sz val="10"/>
        <color rgb="FF000000"/>
        <rFont val="WenQuanYi Zen Hei"/>
        <family val="2"/>
      </rPr>
      <t xml:space="preserve">손익 리뷰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세탁실 별도정산 점검</t>
    </r>
  </si>
  <si>
    <r>
      <rPr>
        <sz val="10"/>
        <color rgb="FF000000"/>
        <rFont val="WenQuanYi Zen Hei"/>
        <family val="2"/>
      </rPr>
      <t xml:space="preserve">본사 보고 자동화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차 적용</t>
    </r>
  </si>
  <si>
    <r>
      <rPr>
        <b val="true"/>
        <sz val="11"/>
        <color rgb="FF1F3864"/>
        <rFont val="맑은 고딕"/>
        <family val="0"/>
        <charset val="1"/>
      </rPr>
      <t xml:space="preserve">5</t>
    </r>
    <r>
      <rPr>
        <b val="true"/>
        <sz val="11"/>
        <color rgb="FF1F3864"/>
        <rFont val="WenQuanYi Zen Hei"/>
        <family val="2"/>
      </rPr>
      <t xml:space="preserve">월</t>
    </r>
  </si>
  <si>
    <t xml:space="preserve">효율 편차 주간관리 정착</t>
  </si>
  <si>
    <r>
      <rPr>
        <b val="true"/>
        <sz val="9"/>
        <color rgb="FFC00000"/>
        <rFont val="WenQuanYi Zen Hei"/>
        <family val="2"/>
      </rPr>
      <t xml:space="preserve">자체진단 </t>
    </r>
    <r>
      <rPr>
        <b val="true"/>
        <sz val="9"/>
        <color rgb="FFC00000"/>
        <rFont val="맑은 고딕"/>
        <family val="0"/>
        <charset val="1"/>
      </rPr>
      <t xml:space="preserve">1</t>
    </r>
    <r>
      <rPr>
        <b val="true"/>
        <sz val="9"/>
        <color rgb="FFC00000"/>
        <rFont val="WenQuanYi Zen Hei"/>
        <family val="2"/>
      </rPr>
      <t xml:space="preserve">차</t>
    </r>
  </si>
  <si>
    <r>
      <rPr>
        <sz val="10"/>
        <color rgb="FF000000"/>
        <rFont val="WenQuanYi Zen Hei"/>
        <family val="2"/>
      </rPr>
      <t xml:space="preserve">조장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반장 리더십 교육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차</t>
    </r>
  </si>
  <si>
    <r>
      <rPr>
        <sz val="10"/>
        <color rgb="FF000000"/>
        <rFont val="WenQuanYi Zen Hei"/>
        <family val="2"/>
      </rPr>
      <t xml:space="preserve">불법파견 자체진단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차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상반기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</si>
  <si>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월 마감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물량변동 대응 인력계획</t>
    </r>
  </si>
  <si>
    <r>
      <rPr>
        <sz val="10"/>
        <color rgb="FF000000"/>
        <rFont val="WenQuanYi Zen Hei"/>
        <family val="2"/>
      </rPr>
      <t xml:space="preserve">플랫폼 사용률 점검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보완</t>
    </r>
  </si>
  <si>
    <r>
      <rPr>
        <b val="true"/>
        <sz val="11"/>
        <color rgb="FF1F3864"/>
        <rFont val="맑은 고딕"/>
        <family val="0"/>
        <charset val="1"/>
      </rPr>
      <t xml:space="preserve">6</t>
    </r>
    <r>
      <rPr>
        <b val="true"/>
        <sz val="11"/>
        <color rgb="FF1F3864"/>
        <rFont val="WenQuanYi Zen Hei"/>
        <family val="2"/>
      </rPr>
      <t xml:space="preserve">월</t>
    </r>
  </si>
  <si>
    <r>
      <rPr>
        <sz val="10"/>
        <color rgb="FF000000"/>
        <rFont val="WenQuanYi Zen Hei"/>
        <family val="2"/>
      </rPr>
      <t xml:space="preserve">상반기 </t>
    </r>
    <r>
      <rPr>
        <sz val="10"/>
        <color rgb="FF000000"/>
        <rFont val="맑은 고딕"/>
        <family val="0"/>
        <charset val="1"/>
      </rPr>
      <t xml:space="preserve">LOSS </t>
    </r>
    <r>
      <rPr>
        <sz val="10"/>
        <color rgb="FF000000"/>
        <rFont val="WenQuanYi Zen Hei"/>
        <family val="2"/>
      </rPr>
      <t xml:space="preserve">실적 집계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검증</t>
    </r>
  </si>
  <si>
    <t xml:space="preserve">상반기 마감</t>
  </si>
  <si>
    <t xml:space="preserve">하계휴가 인력운영 계획 확정</t>
  </si>
  <si>
    <r>
      <rPr>
        <sz val="10"/>
        <color rgb="FF000000"/>
        <rFont val="맑은 고딕"/>
        <family val="0"/>
        <charset val="1"/>
      </rPr>
      <t xml:space="preserve">HeatWatch </t>
    </r>
    <r>
      <rPr>
        <sz val="10"/>
        <color rgb="FF000000"/>
        <rFont val="WenQuanYi Zen Hei"/>
        <family val="2"/>
      </rPr>
      <t xml:space="preserve">가동</t>
    </r>
    <r>
      <rPr>
        <sz val="10"/>
        <color rgb="FF000000"/>
        <rFont val="맑은 고딕"/>
        <family val="0"/>
        <charset val="1"/>
      </rPr>
      <t xml:space="preserve">, 2Q </t>
    </r>
    <r>
      <rPr>
        <sz val="10"/>
        <color rgb="FF000000"/>
        <rFont val="WenQuanYi Zen Hei"/>
        <family val="2"/>
      </rPr>
      <t xml:space="preserve">안전보건교육</t>
    </r>
  </si>
  <si>
    <r>
      <rPr>
        <sz val="10"/>
        <color rgb="FF000000"/>
        <rFont val="WenQuanYi Zen Hei"/>
        <family val="2"/>
      </rPr>
      <t xml:space="preserve">상반기 마감 </t>
    </r>
    <r>
      <rPr>
        <sz val="10"/>
        <color rgb="FF000000"/>
        <rFont val="맑은 고딕"/>
        <family val="0"/>
        <charset val="1"/>
      </rPr>
      <t xml:space="preserve">· 2Q </t>
    </r>
    <r>
      <rPr>
        <sz val="10"/>
        <color rgb="FF000000"/>
        <rFont val="WenQuanYi Zen Hei"/>
        <family val="2"/>
      </rPr>
      <t xml:space="preserve">경영보고</t>
    </r>
  </si>
  <si>
    <t xml:space="preserve">상반기 운영 리뷰</t>
  </si>
  <si>
    <r>
      <rPr>
        <b val="true"/>
        <sz val="11"/>
        <color rgb="FF1F3864"/>
        <rFont val="맑은 고딕"/>
        <family val="0"/>
        <charset val="1"/>
      </rPr>
      <t xml:space="preserve">7</t>
    </r>
    <r>
      <rPr>
        <b val="true"/>
        <sz val="11"/>
        <color rgb="FF1F3864"/>
        <rFont val="WenQuanYi Zen Hei"/>
        <family val="2"/>
      </rPr>
      <t xml:space="preserve">월</t>
    </r>
  </si>
  <si>
    <r>
      <rPr>
        <sz val="10"/>
        <color rgb="FF000000"/>
        <rFont val="WenQuanYi Zen Hei"/>
        <family val="2"/>
      </rPr>
      <t xml:space="preserve">하한기 </t>
    </r>
    <r>
      <rPr>
        <sz val="10"/>
        <color rgb="FF000000"/>
        <rFont val="맑은 고딕"/>
        <family val="0"/>
        <charset val="1"/>
      </rPr>
      <t xml:space="preserve">CAPA </t>
    </r>
    <r>
      <rPr>
        <sz val="10"/>
        <color rgb="FF000000"/>
        <rFont val="WenQuanYi Zen Hei"/>
        <family val="2"/>
      </rPr>
      <t xml:space="preserve">대응 </t>
    </r>
    <r>
      <rPr>
        <sz val="10"/>
        <color rgb="FF000000"/>
        <rFont val="맑은 고딕"/>
        <family val="0"/>
        <charset val="1"/>
      </rPr>
      <t xml:space="preserve">LOSS </t>
    </r>
    <r>
      <rPr>
        <sz val="10"/>
        <color rgb="FF000000"/>
        <rFont val="WenQuanYi Zen Hei"/>
        <family val="2"/>
      </rPr>
      <t xml:space="preserve">관리</t>
    </r>
  </si>
  <si>
    <t xml:space="preserve">Q3</t>
  </si>
  <si>
    <t xml:space="preserve">하계휴가</t>
  </si>
  <si>
    <r>
      <rPr>
        <sz val="10"/>
        <color rgb="FF000000"/>
        <rFont val="WenQuanYi Zen Hei"/>
        <family val="2"/>
      </rPr>
      <t xml:space="preserve">하계휴가 운영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대체인력 배치</t>
    </r>
  </si>
  <si>
    <t xml:space="preserve">온열질환 예방 집중관리</t>
  </si>
  <si>
    <r>
      <rPr>
        <sz val="10"/>
        <color rgb="FF000000"/>
        <rFont val="맑은 고딕"/>
        <family val="0"/>
        <charset val="1"/>
      </rPr>
      <t xml:space="preserve">6</t>
    </r>
    <r>
      <rPr>
        <sz val="10"/>
        <color rgb="FF000000"/>
        <rFont val="WenQuanYi Zen Hei"/>
        <family val="2"/>
      </rPr>
      <t xml:space="preserve">월 마감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상반기 손익 분석</t>
    </r>
  </si>
  <si>
    <t xml:space="preserve">데이터 정합성 감사</t>
  </si>
  <si>
    <r>
      <rPr>
        <b val="true"/>
        <sz val="11"/>
        <color rgb="FF1F3864"/>
        <rFont val="맑은 고딕"/>
        <family val="0"/>
        <charset val="1"/>
      </rPr>
      <t xml:space="preserve">8</t>
    </r>
    <r>
      <rPr>
        <b val="true"/>
        <sz val="11"/>
        <color rgb="FF1F3864"/>
        <rFont val="WenQuanYi Zen Hei"/>
        <family val="2"/>
      </rPr>
      <t xml:space="preserve">월</t>
    </r>
  </si>
  <si>
    <r>
      <rPr>
        <sz val="10"/>
        <color rgb="FF000000"/>
        <rFont val="WenQuanYi Zen Hei"/>
        <family val="2"/>
      </rPr>
      <t xml:space="preserve">폭염 </t>
    </r>
    <r>
      <rPr>
        <sz val="10"/>
        <color rgb="FF000000"/>
        <rFont val="맑은 고딕"/>
        <family val="0"/>
        <charset val="1"/>
      </rPr>
      <t xml:space="preserve">LOSS </t>
    </r>
    <r>
      <rPr>
        <sz val="10"/>
        <color rgb="FF000000"/>
        <rFont val="WenQuanYi Zen Hei"/>
        <family val="2"/>
      </rPr>
      <t xml:space="preserve">귀책 구분기록 강화</t>
    </r>
  </si>
  <si>
    <r>
      <rPr>
        <b val="true"/>
        <sz val="9"/>
        <color rgb="FFC00000"/>
        <rFont val="WenQuanYi Zen Hei"/>
        <family val="2"/>
      </rPr>
      <t xml:space="preserve">협상 </t>
    </r>
    <r>
      <rPr>
        <b val="true"/>
        <sz val="9"/>
        <color rgb="FFC00000"/>
        <rFont val="맑은 고딕"/>
        <family val="0"/>
        <charset val="1"/>
      </rPr>
      <t xml:space="preserve">D-3M</t>
    </r>
  </si>
  <si>
    <r>
      <rPr>
        <sz val="10"/>
        <color rgb="FF000000"/>
        <rFont val="WenQuanYi Zen Hei"/>
        <family val="2"/>
      </rPr>
      <t xml:space="preserve">하반기 채용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결원 보충</t>
    </r>
  </si>
  <si>
    <r>
      <rPr>
        <sz val="10"/>
        <color rgb="FF000000"/>
        <rFont val="맑은 고딕"/>
        <family val="0"/>
        <charset val="1"/>
      </rPr>
      <t xml:space="preserve">3Q </t>
    </r>
    <r>
      <rPr>
        <sz val="10"/>
        <color rgb="FF000000"/>
        <rFont val="WenQuanYi Zen Hei"/>
        <family val="2"/>
      </rPr>
      <t xml:space="preserve">안전보건교육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아차사고 리뷰</t>
    </r>
  </si>
  <si>
    <r>
      <rPr>
        <sz val="10"/>
        <color rgb="FF000000"/>
        <rFont val="맑은 고딕"/>
        <family val="0"/>
        <charset val="1"/>
      </rPr>
      <t xml:space="preserve">BY28 </t>
    </r>
    <r>
      <rPr>
        <sz val="10"/>
        <color rgb="FF000000"/>
        <rFont val="WenQuanYi Zen Hei"/>
        <family val="2"/>
      </rPr>
      <t xml:space="preserve">협상 데이터 </t>
    </r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WenQuanYi Zen Hei"/>
        <family val="2"/>
      </rPr>
      <t xml:space="preserve">차 패키지</t>
    </r>
  </si>
  <si>
    <r>
      <rPr>
        <sz val="10"/>
        <color rgb="FF000000"/>
        <rFont val="맑은 고딕"/>
        <family val="0"/>
        <charset val="1"/>
      </rPr>
      <t xml:space="preserve">OPL </t>
    </r>
    <r>
      <rPr>
        <sz val="10"/>
        <color rgb="FF000000"/>
        <rFont val="WenQuanYi Zen Hei"/>
        <family val="2"/>
      </rPr>
      <t xml:space="preserve">전개 실적 집계</t>
    </r>
  </si>
  <si>
    <r>
      <rPr>
        <b val="true"/>
        <sz val="11"/>
        <color rgb="FF1F3864"/>
        <rFont val="맑은 고딕"/>
        <family val="0"/>
        <charset val="1"/>
      </rPr>
      <t xml:space="preserve">9</t>
    </r>
    <r>
      <rPr>
        <b val="true"/>
        <sz val="11"/>
        <color rgb="FF1F3864"/>
        <rFont val="WenQuanYi Zen Hei"/>
        <family val="2"/>
      </rPr>
      <t xml:space="preserve">월</t>
    </r>
  </si>
  <si>
    <r>
      <rPr>
        <sz val="10"/>
        <color rgb="FF000000"/>
        <rFont val="맑은 고딕"/>
        <family val="0"/>
        <charset val="1"/>
      </rPr>
      <t xml:space="preserve">3Q LOSS </t>
    </r>
    <r>
      <rPr>
        <sz val="10"/>
        <color rgb="FF000000"/>
        <rFont val="WenQuanYi Zen Hei"/>
        <family val="2"/>
      </rPr>
      <t xml:space="preserve">실적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개선효과 검증</t>
    </r>
  </si>
  <si>
    <r>
      <rPr>
        <b val="true"/>
        <sz val="9"/>
        <color rgb="FFC00000"/>
        <rFont val="WenQuanYi Zen Hei"/>
        <family val="2"/>
      </rPr>
      <t xml:space="preserve">추석</t>
    </r>
    <r>
      <rPr>
        <b val="true"/>
        <sz val="9"/>
        <color rgb="FFC00000"/>
        <rFont val="맑은 고딕"/>
        <family val="0"/>
        <charset val="1"/>
      </rPr>
      <t xml:space="preserve">·3Q </t>
    </r>
    <r>
      <rPr>
        <b val="true"/>
        <sz val="9"/>
        <color rgb="FFC00000"/>
        <rFont val="WenQuanYi Zen Hei"/>
        <family val="2"/>
      </rPr>
      <t xml:space="preserve">마감</t>
    </r>
  </si>
  <si>
    <r>
      <rPr>
        <sz val="10"/>
        <color rgb="FF000000"/>
        <rFont val="WenQuanYi Zen Hei"/>
        <family val="2"/>
      </rPr>
      <t xml:space="preserve">추석 인력운영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다능공 교육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차</t>
    </r>
  </si>
  <si>
    <r>
      <rPr>
        <sz val="10"/>
        <color rgb="FF000000"/>
        <rFont val="WenQuanYi Zen Hei"/>
        <family val="2"/>
      </rPr>
      <t xml:space="preserve">위험성평가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수시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변경공정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</si>
  <si>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3Q </t>
    </r>
    <r>
      <rPr>
        <sz val="10"/>
        <color rgb="FF000000"/>
        <rFont val="WenQuanYi Zen Hei"/>
        <family val="2"/>
      </rPr>
      <t xml:space="preserve">마감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경영보고</t>
    </r>
  </si>
  <si>
    <t xml:space="preserve">플랫폼 개선 반영</t>
  </si>
  <si>
    <r>
      <rPr>
        <b val="true"/>
        <sz val="11"/>
        <color rgb="FF1F3864"/>
        <rFont val="맑은 고딕"/>
        <family val="0"/>
        <charset val="1"/>
      </rPr>
      <t xml:space="preserve">10</t>
    </r>
    <r>
      <rPr>
        <b val="true"/>
        <sz val="11"/>
        <color rgb="FF1F3864"/>
        <rFont val="WenQuanYi Zen Hei"/>
        <family val="2"/>
      </rPr>
      <t xml:space="preserve">월</t>
    </r>
  </si>
  <si>
    <r>
      <rPr>
        <sz val="10"/>
        <color rgb="FF000000"/>
        <rFont val="맑은 고딕"/>
        <family val="0"/>
        <charset val="1"/>
      </rPr>
      <t xml:space="preserve">1~9</t>
    </r>
    <r>
      <rPr>
        <sz val="10"/>
        <color rgb="FF000000"/>
        <rFont val="WenQuanYi Zen Hei"/>
        <family val="2"/>
      </rPr>
      <t xml:space="preserve">월 </t>
    </r>
    <r>
      <rPr>
        <sz val="10"/>
        <color rgb="FF000000"/>
        <rFont val="맑은 고딕"/>
        <family val="0"/>
        <charset val="1"/>
      </rPr>
      <t xml:space="preserve">LOSS </t>
    </r>
    <r>
      <rPr>
        <sz val="10"/>
        <color rgb="FF000000"/>
        <rFont val="WenQuanYi Zen Hei"/>
        <family val="2"/>
      </rPr>
      <t xml:space="preserve">귀속 확정 데이터 산출</t>
    </r>
  </si>
  <si>
    <t xml:space="preserve">Q4</t>
  </si>
  <si>
    <r>
      <rPr>
        <b val="true"/>
        <sz val="9"/>
        <color rgb="FFC00000"/>
        <rFont val="WenQuanYi Zen Hei"/>
        <family val="2"/>
      </rPr>
      <t xml:space="preserve">자체진단 </t>
    </r>
    <r>
      <rPr>
        <b val="true"/>
        <sz val="9"/>
        <color rgb="FFC00000"/>
        <rFont val="맑은 고딕"/>
        <family val="0"/>
        <charset val="1"/>
      </rPr>
      <t xml:space="preserve">2</t>
    </r>
    <r>
      <rPr>
        <b val="true"/>
        <sz val="9"/>
        <color rgb="FFC00000"/>
        <rFont val="WenQuanYi Zen Hei"/>
        <family val="2"/>
      </rPr>
      <t xml:space="preserve">차</t>
    </r>
  </si>
  <si>
    <r>
      <rPr>
        <sz val="10"/>
        <color rgb="FF000000"/>
        <rFont val="WenQuanYi Zen Hei"/>
        <family val="2"/>
      </rPr>
      <t xml:space="preserve">차년도 인력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조직 계획 초안</t>
    </r>
  </si>
  <si>
    <r>
      <rPr>
        <sz val="10"/>
        <color rgb="FF000000"/>
        <rFont val="WenQuanYi Zen Hei"/>
        <family val="2"/>
      </rPr>
      <t xml:space="preserve">불법파견 자체진단 </t>
    </r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WenQuanYi Zen Hei"/>
        <family val="2"/>
      </rPr>
      <t xml:space="preserve">차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하반기</t>
    </r>
    <r>
      <rPr>
        <sz val="10"/>
        <color rgb="FF000000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</si>
  <si>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BY28 </t>
    </r>
    <r>
      <rPr>
        <sz val="10"/>
        <color rgb="FF000000"/>
        <rFont val="WenQuanYi Zen Hei"/>
        <family val="2"/>
      </rPr>
      <t xml:space="preserve">단가 산출내역서 작성</t>
    </r>
  </si>
  <si>
    <t xml:space="preserve">협상용 데이터 대시보드 완성</t>
  </si>
  <si>
    <r>
      <rPr>
        <b val="true"/>
        <sz val="11"/>
        <color rgb="FF1F3864"/>
        <rFont val="맑은 고딕"/>
        <family val="0"/>
        <charset val="1"/>
      </rPr>
      <t xml:space="preserve">11</t>
    </r>
    <r>
      <rPr>
        <b val="true"/>
        <sz val="11"/>
        <color rgb="FF1F3864"/>
        <rFont val="WenQuanYi Zen Hei"/>
        <family val="2"/>
      </rPr>
      <t xml:space="preserve">월</t>
    </r>
  </si>
  <si>
    <t xml:space="preserve">원청귀책 근거 사유별 정리</t>
  </si>
  <si>
    <r>
      <rPr>
        <b val="true"/>
        <sz val="9"/>
        <color rgb="FFC00000"/>
        <rFont val="맑은 고딕"/>
        <family val="0"/>
        <charset val="1"/>
      </rPr>
      <t xml:space="preserve">BY28 </t>
    </r>
    <r>
      <rPr>
        <b val="true"/>
        <sz val="9"/>
        <color rgb="FFC00000"/>
        <rFont val="WenQuanYi Zen Hei"/>
        <family val="2"/>
      </rPr>
      <t xml:space="preserve">협상</t>
    </r>
  </si>
  <si>
    <t xml:space="preserve">차년도 인력계획 확정</t>
  </si>
  <si>
    <r>
      <rPr>
        <sz val="10"/>
        <color rgb="FF000000"/>
        <rFont val="맑은 고딕"/>
        <family val="0"/>
        <charset val="1"/>
      </rPr>
      <t xml:space="preserve">4Q </t>
    </r>
    <r>
      <rPr>
        <sz val="10"/>
        <color rgb="FF000000"/>
        <rFont val="WenQuanYi Zen Hei"/>
        <family val="2"/>
      </rPr>
      <t xml:space="preserve">안전보건교육</t>
    </r>
  </si>
  <si>
    <r>
      <rPr>
        <sz val="10"/>
        <color rgb="FF000000"/>
        <rFont val="맑은 고딕"/>
        <family val="0"/>
        <charset val="1"/>
      </rPr>
      <t xml:space="preserve">BY28 </t>
    </r>
    <r>
      <rPr>
        <sz val="10"/>
        <color rgb="FF000000"/>
        <rFont val="WenQuanYi Zen Hei"/>
        <family val="2"/>
      </rPr>
      <t xml:space="preserve">단가협상 테이블 대응</t>
    </r>
  </si>
  <si>
    <t xml:space="preserve">차년도 보고체계 개편안</t>
  </si>
  <si>
    <r>
      <rPr>
        <b val="true"/>
        <sz val="11"/>
        <color rgb="FF1F3864"/>
        <rFont val="맑은 고딕"/>
        <family val="0"/>
        <charset val="1"/>
      </rPr>
      <t xml:space="preserve">12</t>
    </r>
    <r>
      <rPr>
        <b val="true"/>
        <sz val="11"/>
        <color rgb="FF1F3864"/>
        <rFont val="WenQuanYi Zen Hei"/>
        <family val="2"/>
      </rPr>
      <t xml:space="preserve">월</t>
    </r>
  </si>
  <si>
    <r>
      <rPr>
        <sz val="10"/>
        <color rgb="FF000000"/>
        <rFont val="맑은 고딕"/>
        <family val="0"/>
        <charset val="1"/>
      </rPr>
      <t xml:space="preserve">BY27 LOSS </t>
    </r>
    <r>
      <rPr>
        <sz val="10"/>
        <color rgb="FF000000"/>
        <rFont val="WenQuanYi Zen Hei"/>
        <family val="2"/>
      </rPr>
      <t xml:space="preserve">결산</t>
    </r>
  </si>
  <si>
    <t xml:space="preserve">연말 결산</t>
  </si>
  <si>
    <r>
      <rPr>
        <sz val="10"/>
        <color rgb="FF000000"/>
        <rFont val="WenQuanYi Zen Hei"/>
        <family val="2"/>
      </rPr>
      <t xml:space="preserve">연간 교육 이수 마감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인사평가</t>
    </r>
  </si>
  <si>
    <t xml:space="preserve">연간 안전보건 실적평가</t>
  </si>
  <si>
    <r>
      <rPr>
        <sz val="10"/>
        <color rgb="FF000000"/>
        <rFont val="WenQuanYi Zen Hei"/>
        <family val="2"/>
      </rPr>
      <t xml:space="preserve">연말 마감 </t>
    </r>
    <r>
      <rPr>
        <sz val="10"/>
        <color rgb="FF000000"/>
        <rFont val="맑은 고딕"/>
        <family val="0"/>
        <charset val="1"/>
      </rPr>
      <t xml:space="preserve">· BY27 </t>
    </r>
    <r>
      <rPr>
        <sz val="10"/>
        <color rgb="FF000000"/>
        <rFont val="WenQuanYi Zen Hei"/>
        <family val="2"/>
      </rPr>
      <t xml:space="preserve">결산보고</t>
    </r>
  </si>
  <si>
    <r>
      <rPr>
        <sz val="10"/>
        <color rgb="FF000000"/>
        <rFont val="맑은 고딕"/>
        <family val="0"/>
        <charset val="1"/>
      </rPr>
      <t xml:space="preserve">BY28 </t>
    </r>
    <r>
      <rPr>
        <sz val="10"/>
        <color rgb="FF000000"/>
        <rFont val="WenQuanYi Zen Hei"/>
        <family val="2"/>
      </rPr>
      <t xml:space="preserve">운영계획 확정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배포</t>
    </r>
  </si>
  <si>
    <r>
      <rPr>
        <b val="true"/>
        <sz val="16"/>
        <color rgb="FF1F3864"/>
        <rFont val="맑은 고딕"/>
        <family val="0"/>
        <charset val="1"/>
      </rPr>
      <t xml:space="preserve">04. BY27 </t>
    </r>
    <r>
      <rPr>
        <b val="true"/>
        <sz val="16"/>
        <color rgb="FF1F3864"/>
        <rFont val="WenQuanYi Zen Hei"/>
        <family val="2"/>
      </rPr>
      <t xml:space="preserve">중점과제 </t>
    </r>
    <r>
      <rPr>
        <b val="true"/>
        <sz val="16"/>
        <color rgb="FF1F3864"/>
        <rFont val="맑은 고딕"/>
        <family val="0"/>
        <charset val="1"/>
      </rPr>
      <t xml:space="preserve">15</t>
    </r>
    <r>
      <rPr>
        <b val="true"/>
        <sz val="16"/>
        <color rgb="FF1F3864"/>
        <rFont val="WenQuanYi Zen Hei"/>
        <family val="2"/>
      </rPr>
      <t xml:space="preserve">건 </t>
    </r>
    <r>
      <rPr>
        <b val="true"/>
        <sz val="16"/>
        <color rgb="FF1F3864"/>
        <rFont val="맑은 고딕"/>
        <family val="0"/>
        <charset val="1"/>
      </rPr>
      <t xml:space="preserve">· </t>
    </r>
    <r>
      <rPr>
        <b val="true"/>
        <sz val="16"/>
        <color rgb="FF1F3864"/>
        <rFont val="WenQuanYi Zen Hei"/>
        <family val="2"/>
      </rPr>
      <t xml:space="preserve">실행 간트</t>
    </r>
  </si>
  <si>
    <r>
      <rPr>
        <sz val="9"/>
        <color rgb="FF808080"/>
        <rFont val="WenQuanYi Zen Hei"/>
        <family val="2"/>
      </rPr>
      <t xml:space="preserve">난이도 </t>
    </r>
    <r>
      <rPr>
        <sz val="9"/>
        <color rgb="FF808080"/>
        <rFont val="맑은 고딕"/>
        <family val="0"/>
        <charset val="1"/>
      </rPr>
      <t xml:space="preserve">High </t>
    </r>
    <r>
      <rPr>
        <sz val="9"/>
        <color rgb="FF808080"/>
        <rFont val="WenQuanYi Zen Hei"/>
        <family val="2"/>
      </rPr>
      <t xml:space="preserve">과제는 월별 진척을 별도 관리한다</t>
    </r>
    <r>
      <rPr>
        <sz val="9"/>
        <color rgb="FF808080"/>
        <rFont val="맑은 고딕"/>
        <family val="0"/>
        <charset val="1"/>
      </rPr>
      <t xml:space="preserve">. </t>
    </r>
    <r>
      <rPr>
        <sz val="9"/>
        <color rgb="FF808080"/>
        <rFont val="WenQuanYi Zen Hei"/>
        <family val="2"/>
      </rPr>
      <t xml:space="preserve">진척률은 입력 셀</t>
    </r>
    <r>
      <rPr>
        <sz val="9"/>
        <color rgb="FF808080"/>
        <rFont val="맑은 고딕"/>
        <family val="0"/>
        <charset val="1"/>
      </rPr>
      <t xml:space="preserve">.</t>
    </r>
  </si>
  <si>
    <t xml:space="preserve">과제명</t>
  </si>
  <si>
    <t xml:space="preserve">정량 목표</t>
  </si>
  <si>
    <t xml:space="preserve">핵심 산출물</t>
  </si>
  <si>
    <t xml:space="preserve">난이도</t>
  </si>
  <si>
    <t xml:space="preserve">담당</t>
  </si>
  <si>
    <t xml:space="preserve">기간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</si>
  <si>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</si>
  <si>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</si>
  <si>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</si>
  <si>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</si>
  <si>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</si>
  <si>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</si>
  <si>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</si>
  <si>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</si>
  <si>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</si>
  <si>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</si>
  <si>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</si>
  <si>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</si>
  <si>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진척률</t>
  </si>
  <si>
    <t xml:space="preserve">A-01</t>
  </si>
  <si>
    <r>
      <rPr>
        <sz val="10"/>
        <color rgb="FF000000"/>
        <rFont val="맑은 고딕"/>
        <family val="0"/>
        <charset val="1"/>
      </rPr>
      <t xml:space="preserve">LOSS </t>
    </r>
    <r>
      <rPr>
        <sz val="10"/>
        <color rgb="FF000000"/>
        <rFont val="WenQuanYi Zen Hei"/>
        <family val="2"/>
      </rPr>
      <t xml:space="preserve">사유코드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귀책룰 </t>
    </r>
    <r>
      <rPr>
        <sz val="10"/>
        <color rgb="FF000000"/>
        <rFont val="맑은 고딕"/>
        <family val="0"/>
        <charset val="1"/>
      </rPr>
      <t xml:space="preserve">BY27 </t>
    </r>
    <r>
      <rPr>
        <sz val="10"/>
        <color rgb="FF000000"/>
        <rFont val="WenQuanYi Zen Hei"/>
        <family val="2"/>
      </rPr>
      <t xml:space="preserve">확정</t>
    </r>
  </si>
  <si>
    <r>
      <rPr>
        <sz val="9"/>
        <color rgb="FF000000"/>
        <rFont val="WenQuanYi Zen Hei"/>
        <family val="2"/>
      </rPr>
      <t xml:space="preserve">귀책 미분류 </t>
    </r>
    <r>
      <rPr>
        <sz val="9"/>
        <color rgb="FF000000"/>
        <rFont val="맑은 고딕"/>
        <family val="0"/>
        <charset val="1"/>
      </rPr>
      <t xml:space="preserve">LOSS </t>
    </r>
    <r>
      <rPr>
        <sz val="9"/>
        <color rgb="FF000000"/>
        <rFont val="WenQuanYi Zen Hei"/>
        <family val="2"/>
      </rPr>
      <t xml:space="preserve">비중 ≤</t>
    </r>
    <r>
      <rPr>
        <sz val="9"/>
        <color rgb="FF000000"/>
        <rFont val="맑은 고딕"/>
        <family val="0"/>
        <charset val="1"/>
      </rPr>
      <t xml:space="preserve">3%</t>
    </r>
  </si>
  <si>
    <r>
      <rPr>
        <sz val="9"/>
        <color rgb="FF808080"/>
        <rFont val="맑은 고딕"/>
        <family val="0"/>
        <charset val="1"/>
      </rPr>
      <t xml:space="preserve">LOSS </t>
    </r>
    <r>
      <rPr>
        <sz val="9"/>
        <color rgb="FF808080"/>
        <rFont val="WenQuanYi Zen Hei"/>
        <family val="2"/>
      </rPr>
      <t xml:space="preserve">카테고리 정의서 </t>
    </r>
    <r>
      <rPr>
        <sz val="9"/>
        <color rgb="FF808080"/>
        <rFont val="맑은 고딕"/>
        <family val="0"/>
        <charset val="1"/>
      </rPr>
      <t xml:space="preserve">v3 · </t>
    </r>
    <r>
      <rPr>
        <sz val="9"/>
        <color rgb="FF808080"/>
        <rFont val="WenQuanYi Zen Hei"/>
        <family val="2"/>
      </rPr>
      <t xml:space="preserve">월 귀속리포트</t>
    </r>
  </si>
  <si>
    <t xml:space="preserve">Mid</t>
  </si>
  <si>
    <r>
      <rPr>
        <sz val="9"/>
        <color rgb="FF000000"/>
        <rFont val="WenQuanYi Zen Hei"/>
        <family val="2"/>
      </rPr>
      <t xml:space="preserve">센터장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WenQuanYi Zen Hei"/>
        <family val="2"/>
      </rPr>
      <t xml:space="preserve">생산관리</t>
    </r>
  </si>
  <si>
    <r>
      <rPr>
        <sz val="9"/>
        <color rgb="FF000000"/>
        <rFont val="맑은 고딕"/>
        <family val="0"/>
        <charset val="1"/>
      </rPr>
      <t xml:space="preserve">1~3</t>
    </r>
    <r>
      <rPr>
        <sz val="9"/>
        <color rgb="FF000000"/>
        <rFont val="WenQuanYi Zen Hei"/>
        <family val="2"/>
      </rPr>
      <t xml:space="preserve">월</t>
    </r>
  </si>
  <si>
    <t xml:space="preserve">A-02</t>
  </si>
  <si>
    <r>
      <rPr>
        <sz val="10"/>
        <color rgb="FF000000"/>
        <rFont val="WenQuanYi Zen Hei"/>
        <family val="2"/>
      </rPr>
      <t xml:space="preserve">도급귀책 </t>
    </r>
    <r>
      <rPr>
        <sz val="10"/>
        <color rgb="FF000000"/>
        <rFont val="맑은 고딕"/>
        <family val="0"/>
        <charset val="1"/>
      </rPr>
      <t xml:space="preserve">LOSS 3</t>
    </r>
    <r>
      <rPr>
        <sz val="10"/>
        <color rgb="FF000000"/>
        <rFont val="WenQuanYi Zen Hei"/>
        <family val="2"/>
      </rPr>
      <t xml:space="preserve">대 항목 저감</t>
    </r>
  </si>
  <si>
    <r>
      <rPr>
        <sz val="9"/>
        <color rgb="FF000000"/>
        <rFont val="WenQuanYi Zen Hei"/>
        <family val="2"/>
      </rPr>
      <t xml:space="preserve">도급귀책 </t>
    </r>
    <r>
      <rPr>
        <sz val="9"/>
        <color rgb="FF000000"/>
        <rFont val="맑은 고딕"/>
        <family val="0"/>
        <charset val="1"/>
      </rPr>
      <t xml:space="preserve">LOSS </t>
    </r>
    <r>
      <rPr>
        <sz val="9"/>
        <color rgb="FF000000"/>
        <rFont val="WenQuanYi Zen Hei"/>
        <family val="2"/>
      </rPr>
      <t xml:space="preserve">공수 전년比 </t>
    </r>
    <r>
      <rPr>
        <sz val="9"/>
        <color rgb="FF000000"/>
        <rFont val="맑은 고딕"/>
        <family val="0"/>
        <charset val="1"/>
      </rPr>
      <t xml:space="preserve">-15%</t>
    </r>
  </si>
  <si>
    <r>
      <rPr>
        <sz val="9"/>
        <color rgb="FF808080"/>
        <rFont val="맑은 고딕"/>
        <family val="0"/>
        <charset val="1"/>
      </rPr>
      <t xml:space="preserve">3</t>
    </r>
    <r>
      <rPr>
        <sz val="9"/>
        <color rgb="FF808080"/>
        <rFont val="WenQuanYi Zen Hei"/>
        <family val="2"/>
      </rPr>
      <t xml:space="preserve">대 항목</t>
    </r>
    <r>
      <rPr>
        <sz val="9"/>
        <color rgb="FF808080"/>
        <rFont val="맑은 고딕"/>
        <family val="0"/>
        <charset val="1"/>
      </rPr>
      <t xml:space="preserve">(</t>
    </r>
    <r>
      <rPr>
        <sz val="9"/>
        <color rgb="FF808080"/>
        <rFont val="WenQuanYi Zen Hei"/>
        <family val="2"/>
      </rPr>
      <t xml:space="preserve">휴식 미복귀</t>
    </r>
    <r>
      <rPr>
        <sz val="9"/>
        <color rgb="FF808080"/>
        <rFont val="맑은 고딕"/>
        <family val="0"/>
        <charset val="1"/>
      </rPr>
      <t xml:space="preserve">·</t>
    </r>
    <r>
      <rPr>
        <sz val="9"/>
        <color rgb="FF808080"/>
        <rFont val="WenQuanYi Zen Hei"/>
        <family val="2"/>
      </rPr>
      <t xml:space="preserve">교대준비</t>
    </r>
    <r>
      <rPr>
        <sz val="9"/>
        <color rgb="FF808080"/>
        <rFont val="맑은 고딕"/>
        <family val="0"/>
        <charset val="1"/>
      </rPr>
      <t xml:space="preserve">·</t>
    </r>
    <r>
      <rPr>
        <sz val="9"/>
        <color rgb="FF808080"/>
        <rFont val="WenQuanYi Zen Hei"/>
        <family val="2"/>
      </rPr>
      <t xml:space="preserve">초기불량</t>
    </r>
    <r>
      <rPr>
        <sz val="9"/>
        <color rgb="FF808080"/>
        <rFont val="맑은 고딕"/>
        <family val="0"/>
        <charset val="1"/>
      </rPr>
      <t xml:space="preserve">) </t>
    </r>
    <r>
      <rPr>
        <sz val="9"/>
        <color rgb="FF808080"/>
        <rFont val="WenQuanYi Zen Hei"/>
        <family val="2"/>
      </rPr>
      <t xml:space="preserve">개선안</t>
    </r>
  </si>
  <si>
    <t xml:space="preserve">생산반장</t>
  </si>
  <si>
    <r>
      <rPr>
        <sz val="9"/>
        <color rgb="FF000000"/>
        <rFont val="맑은 고딕"/>
        <family val="0"/>
        <charset val="1"/>
      </rPr>
      <t xml:space="preserve">2~12</t>
    </r>
    <r>
      <rPr>
        <sz val="9"/>
        <color rgb="FF000000"/>
        <rFont val="WenQuanYi Zen Hei"/>
        <family val="2"/>
      </rPr>
      <t xml:space="preserve">월</t>
    </r>
  </si>
  <si>
    <t xml:space="preserve">A-03</t>
  </si>
  <si>
    <r>
      <rPr>
        <sz val="10"/>
        <color rgb="FF000000"/>
        <rFont val="WenQuanYi Zen Hei"/>
        <family val="2"/>
      </rPr>
      <t xml:space="preserve">라인별 목표효율 재설정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편차관리</t>
    </r>
  </si>
  <si>
    <r>
      <rPr>
        <sz val="9"/>
        <color rgb="FF000000"/>
        <rFont val="WenQuanYi Zen Hei"/>
        <family val="2"/>
      </rPr>
      <t xml:space="preserve">효율 </t>
    </r>
    <r>
      <rPr>
        <sz val="9"/>
        <color rgb="FF000000"/>
        <rFont val="맑은 고딕"/>
        <family val="0"/>
        <charset val="1"/>
      </rPr>
      <t xml:space="preserve">GAP ≤2%p </t>
    </r>
    <r>
      <rPr>
        <sz val="9"/>
        <color rgb="FF000000"/>
        <rFont val="WenQuanYi Zen Hei"/>
        <family val="2"/>
      </rPr>
      <t xml:space="preserve">라인 비중 </t>
    </r>
    <r>
      <rPr>
        <sz val="9"/>
        <color rgb="FF000000"/>
        <rFont val="맑은 고딕"/>
        <family val="0"/>
        <charset val="1"/>
      </rPr>
      <t xml:space="preserve">80%↑</t>
    </r>
  </si>
  <si>
    <r>
      <rPr>
        <sz val="9"/>
        <color rgb="FF808080"/>
        <rFont val="WenQuanYi Zen Hei"/>
        <family val="2"/>
      </rPr>
      <t xml:space="preserve">라인별 표준효율표 </t>
    </r>
    <r>
      <rPr>
        <sz val="9"/>
        <color rgb="FF808080"/>
        <rFont val="맑은 고딕"/>
        <family val="0"/>
        <charset val="1"/>
      </rPr>
      <t xml:space="preserve">· </t>
    </r>
    <r>
      <rPr>
        <sz val="9"/>
        <color rgb="FF808080"/>
        <rFont val="WenQuanYi Zen Hei"/>
        <family val="2"/>
      </rPr>
      <t xml:space="preserve">주간 편차관리 시트</t>
    </r>
  </si>
  <si>
    <t xml:space="preserve">High</t>
  </si>
  <si>
    <r>
      <rPr>
        <sz val="9"/>
        <color rgb="FF000000"/>
        <rFont val="맑은 고딕"/>
        <family val="0"/>
        <charset val="1"/>
      </rPr>
      <t xml:space="preserve">4~12</t>
    </r>
    <r>
      <rPr>
        <sz val="9"/>
        <color rgb="FF000000"/>
        <rFont val="WenQuanYi Zen Hei"/>
        <family val="2"/>
      </rPr>
      <t xml:space="preserve">월</t>
    </r>
  </si>
  <si>
    <t xml:space="preserve">B-01</t>
  </si>
  <si>
    <r>
      <rPr>
        <sz val="10"/>
        <color rgb="FF000000"/>
        <rFont val="WenQuanYi Zen Hei"/>
        <family val="2"/>
      </rPr>
      <t xml:space="preserve">결원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조기이탈 안정화</t>
    </r>
  </si>
  <si>
    <r>
      <rPr>
        <sz val="9"/>
        <color rgb="FF000000"/>
        <rFont val="WenQuanYi Zen Hei"/>
        <family val="2"/>
      </rPr>
      <t xml:space="preserve">월평균 결원율 ≤</t>
    </r>
    <r>
      <rPr>
        <sz val="9"/>
        <color rgb="FF000000"/>
        <rFont val="맑은 고딕"/>
        <family val="0"/>
        <charset val="1"/>
      </rPr>
      <t xml:space="preserve">3.0% · </t>
    </r>
    <r>
      <rPr>
        <sz val="9"/>
        <color rgb="FF000000"/>
        <rFont val="WenQuanYi Zen Hei"/>
        <family val="2"/>
      </rPr>
      <t xml:space="preserve">이직률 ≤</t>
    </r>
    <r>
      <rPr>
        <sz val="9"/>
        <color rgb="FF000000"/>
        <rFont val="맑은 고딕"/>
        <family val="0"/>
        <charset val="1"/>
      </rPr>
      <t xml:space="preserve">3.5%</t>
    </r>
  </si>
  <si>
    <r>
      <rPr>
        <sz val="9"/>
        <color rgb="FF808080"/>
        <rFont val="WenQuanYi Zen Hei"/>
        <family val="2"/>
      </rPr>
      <t xml:space="preserve">채용 파이프라인 </t>
    </r>
    <r>
      <rPr>
        <sz val="9"/>
        <color rgb="FF808080"/>
        <rFont val="맑은 고딕"/>
        <family val="0"/>
        <charset val="1"/>
      </rPr>
      <t xml:space="preserve">· </t>
    </r>
    <r>
      <rPr>
        <sz val="9"/>
        <color rgb="FF808080"/>
        <rFont val="WenQuanYi Zen Hei"/>
        <family val="2"/>
      </rPr>
      <t xml:space="preserve">입사 </t>
    </r>
    <r>
      <rPr>
        <sz val="9"/>
        <color rgb="FF808080"/>
        <rFont val="맑은 고딕"/>
        <family val="0"/>
        <charset val="1"/>
      </rPr>
      <t xml:space="preserve">4</t>
    </r>
    <r>
      <rPr>
        <sz val="9"/>
        <color rgb="FF808080"/>
        <rFont val="WenQuanYi Zen Hei"/>
        <family val="2"/>
      </rPr>
      <t xml:space="preserve">주 온보딩 체크리스트</t>
    </r>
  </si>
  <si>
    <t xml:space="preserve">인사담당</t>
  </si>
  <si>
    <r>
      <rPr>
        <sz val="9"/>
        <color rgb="FF000000"/>
        <rFont val="맑은 고딕"/>
        <family val="0"/>
        <charset val="1"/>
      </rPr>
      <t xml:space="preserve">1~12</t>
    </r>
    <r>
      <rPr>
        <sz val="9"/>
        <color rgb="FF000000"/>
        <rFont val="WenQuanYi Zen Hei"/>
        <family val="2"/>
      </rPr>
      <t xml:space="preserve">월</t>
    </r>
  </si>
  <si>
    <t xml:space="preserve">B-02</t>
  </si>
  <si>
    <t xml:space="preserve">다능공 스킬매트릭스 운영</t>
  </si>
  <si>
    <r>
      <rPr>
        <sz val="9"/>
        <color rgb="FF000000"/>
        <rFont val="WenQuanYi Zen Hei"/>
        <family val="2"/>
      </rPr>
      <t xml:space="preserve">다능공</t>
    </r>
    <r>
      <rPr>
        <sz val="9"/>
        <color rgb="FF000000"/>
        <rFont val="맑은 고딕"/>
        <family val="0"/>
        <charset val="1"/>
      </rPr>
      <t xml:space="preserve">(2</t>
    </r>
    <r>
      <rPr>
        <sz val="9"/>
        <color rgb="FF000000"/>
        <rFont val="WenQuanYi Zen Hei"/>
        <family val="2"/>
      </rPr>
      <t xml:space="preserve">공정↑</t>
    </r>
    <r>
      <rPr>
        <sz val="9"/>
        <color rgb="FF000000"/>
        <rFont val="맑은 고딕"/>
        <family val="0"/>
        <charset val="1"/>
      </rPr>
      <t xml:space="preserve">) </t>
    </r>
    <r>
      <rPr>
        <sz val="9"/>
        <color rgb="FF000000"/>
        <rFont val="WenQuanYi Zen Hei"/>
        <family val="2"/>
      </rPr>
      <t xml:space="preserve">보유율 </t>
    </r>
    <r>
      <rPr>
        <sz val="9"/>
        <color rgb="FF000000"/>
        <rFont val="맑은 고딕"/>
        <family val="0"/>
        <charset val="1"/>
      </rPr>
      <t xml:space="preserve">60%</t>
    </r>
  </si>
  <si>
    <r>
      <rPr>
        <sz val="9"/>
        <color rgb="FF808080"/>
        <rFont val="WenQuanYi Zen Hei"/>
        <family val="2"/>
      </rPr>
      <t xml:space="preserve">공정별 스킬매트릭스 </t>
    </r>
    <r>
      <rPr>
        <sz val="9"/>
        <color rgb="FF808080"/>
        <rFont val="맑은 고딕"/>
        <family val="0"/>
        <charset val="1"/>
      </rPr>
      <t xml:space="preserve">· </t>
    </r>
    <r>
      <rPr>
        <sz val="9"/>
        <color rgb="FF808080"/>
        <rFont val="WenQuanYi Zen Hei"/>
        <family val="2"/>
      </rPr>
      <t xml:space="preserve">연 </t>
    </r>
    <r>
      <rPr>
        <sz val="9"/>
        <color rgb="FF808080"/>
        <rFont val="맑은 고딕"/>
        <family val="0"/>
        <charset val="1"/>
      </rPr>
      <t xml:space="preserve">2</t>
    </r>
    <r>
      <rPr>
        <sz val="9"/>
        <color rgb="FF808080"/>
        <rFont val="WenQuanYi Zen Hei"/>
        <family val="2"/>
      </rPr>
      <t xml:space="preserve">회 교육</t>
    </r>
  </si>
  <si>
    <t xml:space="preserve">교육담당</t>
  </si>
  <si>
    <r>
      <rPr>
        <sz val="9"/>
        <color rgb="FF000000"/>
        <rFont val="맑은 고딕"/>
        <family val="0"/>
        <charset val="1"/>
      </rPr>
      <t xml:space="preserve">1~9</t>
    </r>
    <r>
      <rPr>
        <sz val="9"/>
        <color rgb="FF000000"/>
        <rFont val="WenQuanYi Zen Hei"/>
        <family val="2"/>
      </rPr>
      <t xml:space="preserve">월</t>
    </r>
  </si>
  <si>
    <t xml:space="preserve">B-03</t>
  </si>
  <si>
    <r>
      <rPr>
        <sz val="10"/>
        <color rgb="FF000000"/>
        <rFont val="WenQuanYi Zen Hei"/>
        <family val="2"/>
      </rPr>
      <t xml:space="preserve">조장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반장 관리라인 역량</t>
    </r>
  </si>
  <si>
    <r>
      <rPr>
        <sz val="9"/>
        <color rgb="FF000000"/>
        <rFont val="WenQuanYi Zen Hei"/>
        <family val="2"/>
      </rPr>
      <t xml:space="preserve">리더 교육 이수율 </t>
    </r>
    <r>
      <rPr>
        <sz val="9"/>
        <color rgb="FF000000"/>
        <rFont val="맑은 고딕"/>
        <family val="0"/>
        <charset val="1"/>
      </rPr>
      <t xml:space="preserve">100% · </t>
    </r>
    <r>
      <rPr>
        <sz val="9"/>
        <color rgb="FF000000"/>
        <rFont val="WenQuanYi Zen Hei"/>
        <family val="2"/>
      </rPr>
      <t xml:space="preserve">관할인원 표준화</t>
    </r>
  </si>
  <si>
    <r>
      <rPr>
        <sz val="9"/>
        <color rgb="FF808080"/>
        <rFont val="WenQuanYi Zen Hei"/>
        <family val="2"/>
      </rPr>
      <t xml:space="preserve">지휘체계 </t>
    </r>
    <r>
      <rPr>
        <sz val="9"/>
        <color rgb="FF808080"/>
        <rFont val="맑은 고딕"/>
        <family val="0"/>
        <charset val="1"/>
      </rPr>
      <t xml:space="preserve">R&amp;R </t>
    </r>
    <r>
      <rPr>
        <sz val="9"/>
        <color rgb="FF808080"/>
        <rFont val="WenQuanYi Zen Hei"/>
        <family val="2"/>
      </rPr>
      <t xml:space="preserve">정의서 </t>
    </r>
    <r>
      <rPr>
        <sz val="9"/>
        <color rgb="FF808080"/>
        <rFont val="맑은 고딕"/>
        <family val="0"/>
        <charset val="1"/>
      </rPr>
      <t xml:space="preserve">· </t>
    </r>
    <r>
      <rPr>
        <sz val="9"/>
        <color rgb="FF808080"/>
        <rFont val="WenQuanYi Zen Hei"/>
        <family val="2"/>
      </rPr>
      <t xml:space="preserve">월 리더미팅</t>
    </r>
  </si>
  <si>
    <t xml:space="preserve">센터장</t>
  </si>
  <si>
    <t xml:space="preserve">C-01</t>
  </si>
  <si>
    <r>
      <rPr>
        <sz val="10"/>
        <color rgb="FF000000"/>
        <rFont val="WenQuanYi Zen Hei"/>
        <family val="2"/>
      </rPr>
      <t xml:space="preserve">중대재해 </t>
    </r>
    <r>
      <rPr>
        <sz val="10"/>
        <color rgb="FF000000"/>
        <rFont val="맑은 고딕"/>
        <family val="0"/>
        <charset val="1"/>
      </rPr>
      <t xml:space="preserve">Zero·</t>
    </r>
    <r>
      <rPr>
        <sz val="10"/>
        <color rgb="FF000000"/>
        <rFont val="WenQuanYi Zen Hei"/>
        <family val="2"/>
      </rPr>
      <t xml:space="preserve">산재 저감</t>
    </r>
  </si>
  <si>
    <r>
      <rPr>
        <sz val="9"/>
        <color rgb="FF000000"/>
        <rFont val="WenQuanYi Zen Hei"/>
        <family val="2"/>
      </rPr>
      <t xml:space="preserve">중대재해 </t>
    </r>
    <r>
      <rPr>
        <sz val="9"/>
        <color rgb="FF000000"/>
        <rFont val="맑은 고딕"/>
        <family val="0"/>
        <charset val="1"/>
      </rPr>
      <t xml:space="preserve">0</t>
    </r>
    <r>
      <rPr>
        <sz val="9"/>
        <color rgb="FF000000"/>
        <rFont val="WenQuanYi Zen Hei"/>
        <family val="2"/>
      </rPr>
      <t xml:space="preserve">건 </t>
    </r>
    <r>
      <rPr>
        <sz val="9"/>
        <color rgb="FF000000"/>
        <rFont val="맑은 고딕"/>
        <family val="0"/>
        <charset val="1"/>
      </rPr>
      <t xml:space="preserve">· </t>
    </r>
    <r>
      <rPr>
        <sz val="9"/>
        <color rgb="FF000000"/>
        <rFont val="WenQuanYi Zen Hei"/>
        <family val="2"/>
      </rPr>
      <t xml:space="preserve">산재 전년比 </t>
    </r>
    <r>
      <rPr>
        <sz val="9"/>
        <color rgb="FF000000"/>
        <rFont val="맑은 고딕"/>
        <family val="0"/>
        <charset val="1"/>
      </rPr>
      <t xml:space="preserve">-30%</t>
    </r>
  </si>
  <si>
    <r>
      <rPr>
        <sz val="9"/>
        <color rgb="FF808080"/>
        <rFont val="WenQuanYi Zen Hei"/>
        <family val="2"/>
      </rPr>
      <t xml:space="preserve">연간 안전보건계획 </t>
    </r>
    <r>
      <rPr>
        <sz val="9"/>
        <color rgb="FF808080"/>
        <rFont val="맑은 고딕"/>
        <family val="0"/>
        <charset val="1"/>
      </rPr>
      <t xml:space="preserve">· </t>
    </r>
    <r>
      <rPr>
        <sz val="9"/>
        <color rgb="FF808080"/>
        <rFont val="WenQuanYi Zen Hei"/>
        <family val="2"/>
      </rPr>
      <t xml:space="preserve">위험성평가 </t>
    </r>
    <r>
      <rPr>
        <sz val="9"/>
        <color rgb="FF808080"/>
        <rFont val="맑은 고딕"/>
        <family val="0"/>
        <charset val="1"/>
      </rPr>
      <t xml:space="preserve">· </t>
    </r>
    <r>
      <rPr>
        <sz val="9"/>
        <color rgb="FF808080"/>
        <rFont val="WenQuanYi Zen Hei"/>
        <family val="2"/>
      </rPr>
      <t xml:space="preserve">아차사고 대장</t>
    </r>
  </si>
  <si>
    <t xml:space="preserve">안전담당</t>
  </si>
  <si>
    <t xml:space="preserve">C-02</t>
  </si>
  <si>
    <r>
      <rPr>
        <sz val="10"/>
        <color rgb="FF000000"/>
        <rFont val="WenQuanYi Zen Hei"/>
        <family val="2"/>
      </rPr>
      <t xml:space="preserve">하절기 온열질환 대응</t>
    </r>
    <r>
      <rPr>
        <sz val="10"/>
        <color rgb="FF000000"/>
        <rFont val="맑은 고딕"/>
        <family val="0"/>
        <charset val="1"/>
      </rPr>
      <t xml:space="preserve">(HeatWatch)</t>
    </r>
  </si>
  <si>
    <r>
      <rPr>
        <sz val="9"/>
        <color rgb="FF000000"/>
        <rFont val="WenQuanYi Zen Hei"/>
        <family val="2"/>
      </rPr>
      <t xml:space="preserve">온열질환 </t>
    </r>
    <r>
      <rPr>
        <sz val="9"/>
        <color rgb="FF000000"/>
        <rFont val="맑은 고딕"/>
        <family val="0"/>
        <charset val="1"/>
      </rPr>
      <t xml:space="preserve">0</t>
    </r>
    <r>
      <rPr>
        <sz val="9"/>
        <color rgb="FF000000"/>
        <rFont val="WenQuanYi Zen Hei"/>
        <family val="2"/>
      </rPr>
      <t xml:space="preserve">건 </t>
    </r>
    <r>
      <rPr>
        <sz val="9"/>
        <color rgb="FF000000"/>
        <rFont val="맑은 고딕"/>
        <family val="0"/>
        <charset val="1"/>
      </rPr>
      <t xml:space="preserve">· </t>
    </r>
    <r>
      <rPr>
        <sz val="9"/>
        <color rgb="FF000000"/>
        <rFont val="WenQuanYi Zen Hei"/>
        <family val="2"/>
      </rPr>
      <t xml:space="preserve">폭염 </t>
    </r>
    <r>
      <rPr>
        <sz val="9"/>
        <color rgb="FF000000"/>
        <rFont val="맑은 고딕"/>
        <family val="0"/>
        <charset val="1"/>
      </rPr>
      <t xml:space="preserve">LOSS </t>
    </r>
    <r>
      <rPr>
        <sz val="9"/>
        <color rgb="FF000000"/>
        <rFont val="WenQuanYi Zen Hei"/>
        <family val="2"/>
      </rPr>
      <t xml:space="preserve">전년比 </t>
    </r>
    <r>
      <rPr>
        <sz val="9"/>
        <color rgb="FF000000"/>
        <rFont val="맑은 고딕"/>
        <family val="0"/>
        <charset val="1"/>
      </rPr>
      <t xml:space="preserve">-20%</t>
    </r>
  </si>
  <si>
    <r>
      <rPr>
        <sz val="9"/>
        <color rgb="FF808080"/>
        <rFont val="WenQuanYi Zen Hei"/>
        <family val="2"/>
      </rPr>
      <t xml:space="preserve">체감온도 휴식 프로토콜 </t>
    </r>
    <r>
      <rPr>
        <sz val="9"/>
        <color rgb="FF808080"/>
        <rFont val="맑은 고딕"/>
        <family val="0"/>
        <charset val="1"/>
      </rPr>
      <t xml:space="preserve">· HeatWatch </t>
    </r>
    <r>
      <rPr>
        <sz val="9"/>
        <color rgb="FF808080"/>
        <rFont val="WenQuanYi Zen Hei"/>
        <family val="2"/>
      </rPr>
      <t xml:space="preserve">운영</t>
    </r>
  </si>
  <si>
    <t xml:space="preserve">Low</t>
  </si>
  <si>
    <r>
      <rPr>
        <sz val="9"/>
        <color rgb="FF000000"/>
        <rFont val="맑은 고딕"/>
        <family val="0"/>
        <charset val="1"/>
      </rPr>
      <t xml:space="preserve">4~9</t>
    </r>
    <r>
      <rPr>
        <sz val="9"/>
        <color rgb="FF000000"/>
        <rFont val="WenQuanYi Zen Hei"/>
        <family val="2"/>
      </rPr>
      <t xml:space="preserve">월</t>
    </r>
  </si>
  <si>
    <t xml:space="preserve">C-03</t>
  </si>
  <si>
    <r>
      <rPr>
        <sz val="10"/>
        <color rgb="FF000000"/>
        <rFont val="WenQuanYi Zen Hei"/>
        <family val="2"/>
      </rPr>
      <t xml:space="preserve">불법파견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위장도급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자체진단</t>
    </r>
  </si>
  <si>
    <r>
      <rPr>
        <sz val="9"/>
        <color rgb="FF000000"/>
        <rFont val="WenQuanYi Zen Hei"/>
        <family val="2"/>
      </rPr>
      <t xml:space="preserve">고위험 항목 </t>
    </r>
    <r>
      <rPr>
        <sz val="9"/>
        <color rgb="FF000000"/>
        <rFont val="맑은 고딕"/>
        <family val="0"/>
        <charset val="1"/>
      </rPr>
      <t xml:space="preserve">0</t>
    </r>
    <r>
      <rPr>
        <sz val="9"/>
        <color rgb="FF000000"/>
        <rFont val="WenQuanYi Zen Hei"/>
        <family val="2"/>
      </rPr>
      <t xml:space="preserve">건 </t>
    </r>
    <r>
      <rPr>
        <sz val="9"/>
        <color rgb="FF000000"/>
        <rFont val="맑은 고딕"/>
        <family val="0"/>
        <charset val="1"/>
      </rPr>
      <t xml:space="preserve">· </t>
    </r>
    <r>
      <rPr>
        <sz val="9"/>
        <color rgb="FF000000"/>
        <rFont val="WenQuanYi Zen Hei"/>
        <family val="2"/>
      </rPr>
      <t xml:space="preserve">반기 </t>
    </r>
    <r>
      <rPr>
        <sz val="9"/>
        <color rgb="FF000000"/>
        <rFont val="맑은 고딕"/>
        <family val="0"/>
        <charset val="1"/>
      </rPr>
      <t xml:space="preserve">2</t>
    </r>
    <r>
      <rPr>
        <sz val="9"/>
        <color rgb="FF000000"/>
        <rFont val="WenQuanYi Zen Hei"/>
        <family val="2"/>
      </rPr>
      <t xml:space="preserve">회 진단</t>
    </r>
  </si>
  <si>
    <r>
      <rPr>
        <sz val="9"/>
        <color rgb="FF808080"/>
        <rFont val="WenQuanYi Zen Hei"/>
        <family val="2"/>
      </rPr>
      <t xml:space="preserve">진단 </t>
    </r>
    <r>
      <rPr>
        <sz val="9"/>
        <color rgb="FF808080"/>
        <rFont val="맑은 고딕"/>
        <family val="0"/>
        <charset val="1"/>
      </rPr>
      <t xml:space="preserve">130</t>
    </r>
    <r>
      <rPr>
        <sz val="9"/>
        <color rgb="FF808080"/>
        <rFont val="WenQuanYi Zen Hei"/>
        <family val="2"/>
      </rPr>
      <t xml:space="preserve">항목 체크리스트 </t>
    </r>
    <r>
      <rPr>
        <sz val="9"/>
        <color rgb="FF808080"/>
        <rFont val="맑은 고딕"/>
        <family val="0"/>
        <charset val="1"/>
      </rPr>
      <t xml:space="preserve">· </t>
    </r>
    <r>
      <rPr>
        <sz val="9"/>
        <color rgb="FF808080"/>
        <rFont val="WenQuanYi Zen Hei"/>
        <family val="2"/>
      </rPr>
      <t xml:space="preserve">지시경로 기록</t>
    </r>
  </si>
  <si>
    <r>
      <rPr>
        <sz val="9"/>
        <color rgb="FF000000"/>
        <rFont val="맑은 고딕"/>
        <family val="0"/>
        <charset val="1"/>
      </rPr>
      <t xml:space="preserve">5</t>
    </r>
    <r>
      <rPr>
        <sz val="9"/>
        <color rgb="FF000000"/>
        <rFont val="WenQuanYi Zen Hei"/>
        <family val="2"/>
      </rPr>
      <t xml:space="preserve">월</t>
    </r>
    <r>
      <rPr>
        <sz val="9"/>
        <color rgb="FF000000"/>
        <rFont val="맑은 고딕"/>
        <family val="0"/>
        <charset val="1"/>
      </rPr>
      <t xml:space="preserve">·10</t>
    </r>
    <r>
      <rPr>
        <sz val="9"/>
        <color rgb="FF000000"/>
        <rFont val="WenQuanYi Zen Hei"/>
        <family val="2"/>
      </rPr>
      <t xml:space="preserve">월</t>
    </r>
  </si>
  <si>
    <t xml:space="preserve">C-04</t>
  </si>
  <si>
    <t xml:space="preserve">도급귀책 품질클레임 저감</t>
  </si>
  <si>
    <r>
      <rPr>
        <sz val="9"/>
        <color rgb="FF000000"/>
        <rFont val="WenQuanYi Zen Hei"/>
        <family val="2"/>
      </rPr>
      <t xml:space="preserve">도급귀책 클레임 전년比 </t>
    </r>
    <r>
      <rPr>
        <sz val="9"/>
        <color rgb="FF000000"/>
        <rFont val="맑은 고딕"/>
        <family val="0"/>
        <charset val="1"/>
      </rPr>
      <t xml:space="preserve">-30%</t>
    </r>
  </si>
  <si>
    <r>
      <rPr>
        <sz val="9"/>
        <color rgb="FF808080"/>
        <rFont val="WenQuanYi Zen Hei"/>
        <family val="2"/>
      </rPr>
      <t xml:space="preserve">초</t>
    </r>
    <r>
      <rPr>
        <sz val="9"/>
        <color rgb="FF808080"/>
        <rFont val="맑은 고딕"/>
        <family val="0"/>
        <charset val="1"/>
      </rPr>
      <t xml:space="preserve">·</t>
    </r>
    <r>
      <rPr>
        <sz val="9"/>
        <color rgb="FF808080"/>
        <rFont val="WenQuanYi Zen Hei"/>
        <family val="2"/>
      </rPr>
      <t xml:space="preserve">중</t>
    </r>
    <r>
      <rPr>
        <sz val="9"/>
        <color rgb="FF808080"/>
        <rFont val="맑은 고딕"/>
        <family val="0"/>
        <charset val="1"/>
      </rPr>
      <t xml:space="preserve">·</t>
    </r>
    <r>
      <rPr>
        <sz val="9"/>
        <color rgb="FF808080"/>
        <rFont val="WenQuanYi Zen Hei"/>
        <family val="2"/>
      </rPr>
      <t xml:space="preserve">종물 검사 준수율 </t>
    </r>
    <r>
      <rPr>
        <sz val="9"/>
        <color rgb="FF808080"/>
        <rFont val="맑은 고딕"/>
        <family val="0"/>
        <charset val="1"/>
      </rPr>
      <t xml:space="preserve">· OPL </t>
    </r>
    <r>
      <rPr>
        <sz val="9"/>
        <color rgb="FF808080"/>
        <rFont val="WenQuanYi Zen Hei"/>
        <family val="2"/>
      </rPr>
      <t xml:space="preserve">전개</t>
    </r>
  </si>
  <si>
    <t xml:space="preserve">품질담당</t>
  </si>
  <si>
    <t xml:space="preserve">D-01</t>
  </si>
  <si>
    <r>
      <rPr>
        <sz val="10"/>
        <color rgb="FF000000"/>
        <rFont val="WenQuanYi Zen Hei"/>
        <family val="2"/>
      </rPr>
      <t xml:space="preserve">월마감 </t>
    </r>
    <r>
      <rPr>
        <sz val="10"/>
        <color rgb="FF000000"/>
        <rFont val="맑은 고딕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축 분리집계 표준화</t>
    </r>
  </si>
  <si>
    <r>
      <rPr>
        <sz val="9"/>
        <color rgb="FF000000"/>
        <rFont val="WenQuanYi Zen Hei"/>
        <family val="2"/>
      </rPr>
      <t xml:space="preserve">정산 오류 </t>
    </r>
    <r>
      <rPr>
        <sz val="9"/>
        <color rgb="FF000000"/>
        <rFont val="맑은 고딕"/>
        <family val="0"/>
        <charset val="1"/>
      </rPr>
      <t xml:space="preserve">0</t>
    </r>
    <r>
      <rPr>
        <sz val="9"/>
        <color rgb="FF000000"/>
        <rFont val="WenQuanYi Zen Hei"/>
        <family val="2"/>
      </rPr>
      <t xml:space="preserve">건 </t>
    </r>
    <r>
      <rPr>
        <sz val="9"/>
        <color rgb="FF000000"/>
        <rFont val="맑은 고딕"/>
        <family val="0"/>
        <charset val="1"/>
      </rPr>
      <t xml:space="preserve">· </t>
    </r>
    <r>
      <rPr>
        <sz val="9"/>
        <color rgb="FF000000"/>
        <rFont val="WenQuanYi Zen Hei"/>
        <family val="2"/>
      </rPr>
      <t xml:space="preserve">마감 </t>
    </r>
    <r>
      <rPr>
        <sz val="9"/>
        <color rgb="FF000000"/>
        <rFont val="맑은 고딕"/>
        <family val="0"/>
        <charset val="1"/>
      </rPr>
      <t xml:space="preserve">D+3</t>
    </r>
  </si>
  <si>
    <r>
      <rPr>
        <sz val="9"/>
        <color rgb="FF808080"/>
        <rFont val="WenQuanYi Zen Hei"/>
        <family val="2"/>
      </rPr>
      <t xml:space="preserve">마감 체크리스트 </t>
    </r>
    <r>
      <rPr>
        <sz val="9"/>
        <color rgb="FF808080"/>
        <rFont val="맑은 고딕"/>
        <family val="0"/>
        <charset val="1"/>
      </rPr>
      <t xml:space="preserve">· </t>
    </r>
    <r>
      <rPr>
        <sz val="9"/>
        <color rgb="FF808080"/>
        <rFont val="WenQuanYi Zen Hei"/>
        <family val="2"/>
      </rPr>
      <t xml:space="preserve">고객</t>
    </r>
    <r>
      <rPr>
        <sz val="9"/>
        <color rgb="FF808080"/>
        <rFont val="맑은 고딕"/>
        <family val="0"/>
        <charset val="1"/>
      </rPr>
      <t xml:space="preserve">×</t>
    </r>
    <r>
      <rPr>
        <sz val="9"/>
        <color rgb="FF808080"/>
        <rFont val="WenQuanYi Zen Hei"/>
        <family val="2"/>
      </rPr>
      <t xml:space="preserve">계약유형 집계 양식</t>
    </r>
  </si>
  <si>
    <t xml:space="preserve">정산담당</t>
  </si>
  <si>
    <r>
      <rPr>
        <sz val="9"/>
        <color rgb="FF000000"/>
        <rFont val="맑은 고딕"/>
        <family val="0"/>
        <charset val="1"/>
      </rPr>
      <t xml:space="preserve">1~4</t>
    </r>
    <r>
      <rPr>
        <sz val="9"/>
        <color rgb="FF000000"/>
        <rFont val="WenQuanYi Zen Hei"/>
        <family val="2"/>
      </rPr>
      <t xml:space="preserve">월</t>
    </r>
  </si>
  <si>
    <t xml:space="preserve">D-02</t>
  </si>
  <si>
    <r>
      <rPr>
        <sz val="10"/>
        <color rgb="FF000000"/>
        <rFont val="맑은 고딕"/>
        <family val="0"/>
        <charset val="1"/>
      </rPr>
      <t xml:space="preserve">BY28 </t>
    </r>
    <r>
      <rPr>
        <sz val="10"/>
        <color rgb="FF000000"/>
        <rFont val="WenQuanYi Zen Hei"/>
        <family val="2"/>
      </rPr>
      <t xml:space="preserve">단가협상 근거 축적</t>
    </r>
  </si>
  <si>
    <r>
      <rPr>
        <sz val="9"/>
        <color rgb="FF000000"/>
        <rFont val="맑은 고딕"/>
        <family val="0"/>
        <charset val="1"/>
      </rPr>
      <t xml:space="preserve">10</t>
    </r>
    <r>
      <rPr>
        <sz val="9"/>
        <color rgb="FF000000"/>
        <rFont val="WenQuanYi Zen Hei"/>
        <family val="2"/>
      </rPr>
      <t xml:space="preserve">월까지 협상 데이터패키지 완성</t>
    </r>
  </si>
  <si>
    <r>
      <rPr>
        <sz val="9"/>
        <color rgb="FF808080"/>
        <rFont val="맑은 고딕"/>
        <family val="0"/>
        <charset val="1"/>
      </rPr>
      <t xml:space="preserve">LOSS </t>
    </r>
    <r>
      <rPr>
        <sz val="9"/>
        <color rgb="FF808080"/>
        <rFont val="WenQuanYi Zen Hei"/>
        <family val="2"/>
      </rPr>
      <t xml:space="preserve">귀속 확정치 </t>
    </r>
    <r>
      <rPr>
        <sz val="9"/>
        <color rgb="FF808080"/>
        <rFont val="맑은 고딕"/>
        <family val="0"/>
        <charset val="1"/>
      </rPr>
      <t xml:space="preserve">· </t>
    </r>
    <r>
      <rPr>
        <sz val="9"/>
        <color rgb="FF808080"/>
        <rFont val="WenQuanYi Zen Hei"/>
        <family val="2"/>
      </rPr>
      <t xml:space="preserve">단가 산출내역서</t>
    </r>
  </si>
  <si>
    <r>
      <rPr>
        <sz val="9"/>
        <color rgb="FF000000"/>
        <rFont val="맑은 고딕"/>
        <family val="0"/>
        <charset val="1"/>
      </rPr>
      <t xml:space="preserve">8~11</t>
    </r>
    <r>
      <rPr>
        <sz val="9"/>
        <color rgb="FF000000"/>
        <rFont val="WenQuanYi Zen Hei"/>
        <family val="2"/>
      </rPr>
      <t xml:space="preserve">월</t>
    </r>
  </si>
  <si>
    <t xml:space="preserve">D-03</t>
  </si>
  <si>
    <t xml:space="preserve">코스비전 세탁실 별도정산 정착</t>
  </si>
  <si>
    <r>
      <rPr>
        <sz val="9"/>
        <color rgb="FF000000"/>
        <rFont val="WenQuanYi Zen Hei"/>
        <family val="2"/>
      </rPr>
      <t xml:space="preserve">분리청구 누락 </t>
    </r>
    <r>
      <rPr>
        <sz val="9"/>
        <color rgb="FF000000"/>
        <rFont val="맑은 고딕"/>
        <family val="0"/>
        <charset val="1"/>
      </rPr>
      <t xml:space="preserve">0</t>
    </r>
    <r>
      <rPr>
        <sz val="9"/>
        <color rgb="FF000000"/>
        <rFont val="WenQuanYi Zen Hei"/>
        <family val="2"/>
      </rPr>
      <t xml:space="preserve">건</t>
    </r>
  </si>
  <si>
    <r>
      <rPr>
        <sz val="9"/>
        <color rgb="FF808080"/>
        <rFont val="WenQuanYi Zen Hei"/>
        <family val="2"/>
      </rPr>
      <t xml:space="preserve">비용 분리 산정기준 </t>
    </r>
    <r>
      <rPr>
        <sz val="9"/>
        <color rgb="FF808080"/>
        <rFont val="맑은 고딕"/>
        <family val="0"/>
        <charset val="1"/>
      </rPr>
      <t xml:space="preserve">· </t>
    </r>
    <r>
      <rPr>
        <sz val="9"/>
        <color rgb="FF808080"/>
        <rFont val="WenQuanYi Zen Hei"/>
        <family val="2"/>
      </rPr>
      <t xml:space="preserve">증빙 표준</t>
    </r>
  </si>
  <si>
    <r>
      <rPr>
        <sz val="9"/>
        <color rgb="FF000000"/>
        <rFont val="맑은 고딕"/>
        <family val="0"/>
        <charset val="1"/>
      </rPr>
      <t xml:space="preserve">1~6</t>
    </r>
    <r>
      <rPr>
        <sz val="9"/>
        <color rgb="FF000000"/>
        <rFont val="WenQuanYi Zen Hei"/>
        <family val="2"/>
      </rPr>
      <t xml:space="preserve">월</t>
    </r>
  </si>
  <si>
    <t xml:space="preserve">E-01</t>
  </si>
  <si>
    <r>
      <rPr>
        <sz val="10"/>
        <color rgb="FF000000"/>
        <rFont val="맑은 고딕"/>
        <family val="0"/>
        <charset val="1"/>
      </rPr>
      <t xml:space="preserve">ZEN </t>
    </r>
    <r>
      <rPr>
        <sz val="10"/>
        <color rgb="FF000000"/>
        <rFont val="WenQuanYi Zen Hei"/>
        <family val="2"/>
      </rPr>
      <t xml:space="preserve">플랫폼 현장 정착</t>
    </r>
  </si>
  <si>
    <r>
      <rPr>
        <sz val="9"/>
        <color rgb="FF000000"/>
        <rFont val="WenQuanYi Zen Hei"/>
        <family val="2"/>
      </rPr>
      <t xml:space="preserve">주간계획 업로드 준수율 </t>
    </r>
    <r>
      <rPr>
        <sz val="9"/>
        <color rgb="FF000000"/>
        <rFont val="맑은 고딕"/>
        <family val="0"/>
        <charset val="1"/>
      </rPr>
      <t xml:space="preserve">95%↑</t>
    </r>
  </si>
  <si>
    <r>
      <rPr>
        <sz val="9"/>
        <color rgb="FF808080"/>
        <rFont val="WenQuanYi Zen Hei"/>
        <family val="2"/>
      </rPr>
      <t xml:space="preserve">업로드 </t>
    </r>
    <r>
      <rPr>
        <sz val="9"/>
        <color rgb="FF808080"/>
        <rFont val="맑은 고딕"/>
        <family val="0"/>
        <charset val="1"/>
      </rPr>
      <t xml:space="preserve">SOP · </t>
    </r>
    <r>
      <rPr>
        <sz val="9"/>
        <color rgb="FF808080"/>
        <rFont val="WenQuanYi Zen Hei"/>
        <family val="2"/>
      </rPr>
      <t xml:space="preserve">조치추적 운영지표</t>
    </r>
  </si>
  <si>
    <t xml:space="preserve">E-02</t>
  </si>
  <si>
    <t xml:space="preserve">본사 월간보고 표준화</t>
  </si>
  <si>
    <r>
      <rPr>
        <sz val="9"/>
        <color rgb="FF000000"/>
        <rFont val="WenQuanYi Zen Hei"/>
        <family val="2"/>
      </rPr>
      <t xml:space="preserve">보고 작성공수 </t>
    </r>
    <r>
      <rPr>
        <sz val="9"/>
        <color rgb="FF000000"/>
        <rFont val="맑은 고딕"/>
        <family val="0"/>
        <charset val="1"/>
      </rPr>
      <t xml:space="preserve">-50%</t>
    </r>
  </si>
  <si>
    <r>
      <rPr>
        <sz val="9"/>
        <color rgb="FF808080"/>
        <rFont val="WenQuanYi Zen Hei"/>
        <family val="2"/>
      </rPr>
      <t xml:space="preserve">월간 경영보고 템플릿 </t>
    </r>
    <r>
      <rPr>
        <sz val="9"/>
        <color rgb="FF808080"/>
        <rFont val="맑은 고딕"/>
        <family val="0"/>
        <charset val="1"/>
      </rPr>
      <t xml:space="preserve">v27(4</t>
    </r>
    <r>
      <rPr>
        <sz val="9"/>
        <color rgb="FF808080"/>
        <rFont val="WenQuanYi Zen Hei"/>
        <family val="2"/>
      </rPr>
      <t xml:space="preserve">축 분리</t>
    </r>
    <r>
      <rPr>
        <sz val="9"/>
        <color rgb="FF808080"/>
        <rFont val="맑은 고딕"/>
        <family val="0"/>
        <charset val="1"/>
      </rPr>
      <t xml:space="preserve">)</t>
    </r>
  </si>
  <si>
    <r>
      <rPr>
        <b val="true"/>
        <sz val="10"/>
        <color rgb="FF000000"/>
        <rFont val="WenQuanYi Zen Hei"/>
        <family val="2"/>
      </rPr>
      <t xml:space="preserve">전체 진척률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단순평균</t>
    </r>
    <r>
      <rPr>
        <b val="true"/>
        <sz val="10"/>
        <color rgb="FF000000"/>
        <rFont val="맑은 고딕"/>
        <family val="0"/>
        <charset val="1"/>
      </rPr>
      <t xml:space="preserve">)</t>
    </r>
  </si>
  <si>
    <t xml:space="preserve">난이도 기준</t>
  </si>
  <si>
    <r>
      <rPr>
        <sz val="9"/>
        <color rgb="FF808080"/>
        <rFont val="맑은 고딕"/>
        <family val="0"/>
        <charset val="1"/>
      </rPr>
      <t xml:space="preserve">Low = </t>
    </r>
    <r>
      <rPr>
        <sz val="9"/>
        <color rgb="FF808080"/>
        <rFont val="WenQuanYi Zen Hei"/>
        <family val="2"/>
      </rPr>
      <t xml:space="preserve">기존 자원으로 즉시 실행 </t>
    </r>
    <r>
      <rPr>
        <sz val="9"/>
        <color rgb="FF808080"/>
        <rFont val="맑은 고딕"/>
        <family val="0"/>
        <charset val="1"/>
      </rPr>
      <t xml:space="preserve">/ Mid = </t>
    </r>
    <r>
      <rPr>
        <sz val="9"/>
        <color rgb="FF808080"/>
        <rFont val="WenQuanYi Zen Hei"/>
        <family val="2"/>
      </rPr>
      <t xml:space="preserve">타 부서</t>
    </r>
    <r>
      <rPr>
        <sz val="9"/>
        <color rgb="FF808080"/>
        <rFont val="맑은 고딕"/>
        <family val="0"/>
        <charset val="1"/>
      </rPr>
      <t xml:space="preserve">·</t>
    </r>
    <r>
      <rPr>
        <sz val="9"/>
        <color rgb="FF808080"/>
        <rFont val="WenQuanYi Zen Hei"/>
        <family val="2"/>
      </rPr>
      <t xml:space="preserve">원청 협의 필요 </t>
    </r>
    <r>
      <rPr>
        <sz val="9"/>
        <color rgb="FF808080"/>
        <rFont val="맑은 고딕"/>
        <family val="0"/>
        <charset val="1"/>
      </rPr>
      <t xml:space="preserve">/ High = </t>
    </r>
    <r>
      <rPr>
        <sz val="9"/>
        <color rgb="FF808080"/>
        <rFont val="WenQuanYi Zen Hei"/>
        <family val="2"/>
      </rPr>
      <t xml:space="preserve">원청 합의 또는 본사 승인 필요</t>
    </r>
    <r>
      <rPr>
        <sz val="9"/>
        <color rgb="FF808080"/>
        <rFont val="맑은 고딕"/>
        <family val="0"/>
        <charset val="1"/>
      </rPr>
      <t xml:space="preserve">, </t>
    </r>
    <r>
      <rPr>
        <sz val="9"/>
        <color rgb="FF808080"/>
        <rFont val="WenQuanYi Zen Hei"/>
        <family val="2"/>
      </rPr>
      <t xml:space="preserve">실패 시 손익 직결</t>
    </r>
  </si>
  <si>
    <r>
      <rPr>
        <b val="true"/>
        <sz val="16"/>
        <color rgb="FF1F3864"/>
        <rFont val="맑은 고딕"/>
        <family val="0"/>
        <charset val="1"/>
      </rPr>
      <t xml:space="preserve">05. LOSS </t>
    </r>
    <r>
      <rPr>
        <b val="true"/>
        <sz val="16"/>
        <color rgb="FF1F3864"/>
        <rFont val="WenQuanYi Zen Hei"/>
        <family val="2"/>
      </rPr>
      <t xml:space="preserve">비용 </t>
    </r>
    <r>
      <rPr>
        <b val="true"/>
        <sz val="16"/>
        <color rgb="FF1F3864"/>
        <rFont val="맑은 고딕"/>
        <family val="0"/>
        <charset val="1"/>
      </rPr>
      <t xml:space="preserve">· </t>
    </r>
    <r>
      <rPr>
        <b val="true"/>
        <sz val="16"/>
        <color rgb="FF1F3864"/>
        <rFont val="WenQuanYi Zen Hei"/>
        <family val="2"/>
      </rPr>
      <t xml:space="preserve">효율 </t>
    </r>
    <r>
      <rPr>
        <b val="true"/>
        <sz val="16"/>
        <color rgb="FF1F3864"/>
        <rFont val="맑은 고딕"/>
        <family val="0"/>
        <charset val="1"/>
      </rPr>
      <t xml:space="preserve">GAP </t>
    </r>
    <r>
      <rPr>
        <b val="true"/>
        <sz val="16"/>
        <color rgb="FF1F3864"/>
        <rFont val="WenQuanYi Zen Hei"/>
        <family val="2"/>
      </rPr>
      <t xml:space="preserve">시뮬레이션</t>
    </r>
  </si>
  <si>
    <r>
      <rPr>
        <sz val="9"/>
        <color rgb="FF808080"/>
        <rFont val="맑은 고딕"/>
        <family val="0"/>
        <charset val="1"/>
      </rPr>
      <t xml:space="preserve">01_</t>
    </r>
    <r>
      <rPr>
        <sz val="9"/>
        <color rgb="FF808080"/>
        <rFont val="WenQuanYi Zen Hei"/>
        <family val="2"/>
      </rPr>
      <t xml:space="preserve">기준전제 입력값에 연동</t>
    </r>
    <r>
      <rPr>
        <sz val="9"/>
        <color rgb="FF808080"/>
        <rFont val="맑은 고딕"/>
        <family val="0"/>
        <charset val="1"/>
      </rPr>
      <t xml:space="preserve">. LOSS</t>
    </r>
    <r>
      <rPr>
        <sz val="9"/>
        <color rgb="FF808080"/>
        <rFont val="WenQuanYi Zen Hei"/>
        <family val="2"/>
      </rPr>
      <t xml:space="preserve">율</t>
    </r>
    <r>
      <rPr>
        <sz val="9"/>
        <color rgb="FF808080"/>
        <rFont val="맑은 고딕"/>
        <family val="0"/>
        <charset val="1"/>
      </rPr>
      <t xml:space="preserve">·</t>
    </r>
    <r>
      <rPr>
        <sz val="9"/>
        <color rgb="FF808080"/>
        <rFont val="WenQuanYi Zen Hei"/>
        <family val="2"/>
      </rPr>
      <t xml:space="preserve">귀책비중</t>
    </r>
    <r>
      <rPr>
        <sz val="9"/>
        <color rgb="FF808080"/>
        <rFont val="맑은 고딕"/>
        <family val="0"/>
        <charset val="1"/>
      </rPr>
      <t xml:space="preserve">·</t>
    </r>
    <r>
      <rPr>
        <sz val="9"/>
        <color rgb="FF808080"/>
        <rFont val="WenQuanYi Zen Hei"/>
        <family val="2"/>
      </rPr>
      <t xml:space="preserve">효율은 전 계약 공통 가정 — 축별 실적 확보 시 행별로 분리 입력할 것</t>
    </r>
    <r>
      <rPr>
        <sz val="9"/>
        <color rgb="FF808080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</si>
  <si>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[1] LOSS </t>
    </r>
    <r>
      <rPr>
        <b val="true"/>
        <sz val="11"/>
        <color rgb="FF1F3864"/>
        <rFont val="WenQuanYi Zen Hei"/>
        <family val="2"/>
      </rPr>
      <t xml:space="preserve">비용 — 계약 </t>
    </r>
    <r>
      <rPr>
        <b val="true"/>
        <sz val="11"/>
        <color rgb="FF1F3864"/>
        <rFont val="맑은 고딕"/>
        <family val="0"/>
        <charset val="1"/>
      </rPr>
      <t xml:space="preserve">4</t>
    </r>
    <r>
      <rPr>
        <b val="true"/>
        <sz val="11"/>
        <color rgb="FF1F3864"/>
        <rFont val="WenQuanYi Zen Hei"/>
        <family val="2"/>
      </rPr>
      <t xml:space="preserve">축</t>
    </r>
  </si>
  <si>
    <t xml:space="preserve">구분</t>
  </si>
  <si>
    <t xml:space="preserve">인원</t>
  </si>
  <si>
    <t xml:space="preserve">월 기준공수</t>
  </si>
  <si>
    <t xml:space="preserve">월 총공수</t>
  </si>
  <si>
    <t xml:space="preserve">임률</t>
  </si>
  <si>
    <t xml:space="preserve">월 도급비</t>
  </si>
  <si>
    <r>
      <rPr>
        <b val="true"/>
        <sz val="10"/>
        <color rgb="FFFFFFFF"/>
        <rFont val="맑은 고딕"/>
        <family val="0"/>
        <charset val="1"/>
      </rPr>
      <t xml:space="preserve">LOSS</t>
    </r>
    <r>
      <rPr>
        <b val="true"/>
        <sz val="10"/>
        <color rgb="FFFFFFFF"/>
        <rFont val="WenQuanYi Zen Hei"/>
        <family val="2"/>
      </rPr>
      <t xml:space="preserve">율</t>
    </r>
  </si>
  <si>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맑은 고딕"/>
        <family val="0"/>
        <charset val="1"/>
      </rPr>
      <t xml:space="preserve">LOSS</t>
    </r>
    <r>
      <rPr>
        <b val="true"/>
        <sz val="10"/>
        <color rgb="FFFFFFFF"/>
        <rFont val="WenQuanYi Zen Hei"/>
        <family val="2"/>
      </rPr>
      <t xml:space="preserve">공수</t>
    </r>
  </si>
  <si>
    <r>
      <rPr>
        <b val="true"/>
        <sz val="10"/>
        <color rgb="FFFFFFFF"/>
        <rFont val="WenQuanYi Zen Hei"/>
        <family val="2"/>
      </rPr>
      <t xml:space="preserve">원청귀책</t>
    </r>
    <r>
      <rPr>
        <b val="true"/>
        <sz val="10"/>
        <color rgb="FFFFFFFF"/>
        <rFont val="맑은 고딕"/>
        <family val="0"/>
        <charset val="1"/>
      </rPr>
      <t xml:space="preserve">H</t>
    </r>
  </si>
  <si>
    <r>
      <rPr>
        <b val="true"/>
        <sz val="10"/>
        <color rgb="FFFFFFFF"/>
        <rFont val="WenQuanYi Zen Hei"/>
        <family val="2"/>
      </rPr>
      <t xml:space="preserve">도급귀책</t>
    </r>
    <r>
      <rPr>
        <b val="true"/>
        <sz val="10"/>
        <color rgb="FFFFFFFF"/>
        <rFont val="맑은 고딕"/>
        <family val="0"/>
        <charset val="1"/>
      </rPr>
      <t xml:space="preserve">H</t>
    </r>
  </si>
  <si>
    <r>
      <rPr>
        <b val="true"/>
        <sz val="10"/>
        <color rgb="FFFFFFFF"/>
        <rFont val="WenQuanYi Zen Hei"/>
        <family val="2"/>
      </rPr>
      <t xml:space="preserve">도급귀책 비용</t>
    </r>
    <r>
      <rPr>
        <b val="true"/>
        <sz val="10"/>
        <color rgb="FFFFFFFF"/>
        <rFont val="맑은 고딕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월</t>
    </r>
  </si>
  <si>
    <t xml:space="preserve">저감목표</t>
  </si>
  <si>
    <t xml:space="preserve">월 절감액</t>
  </si>
  <si>
    <t xml:space="preserve">연 절감액</t>
  </si>
  <si>
    <t xml:space="preserve">아모레퍼시픽 생산도급</t>
  </si>
  <si>
    <t xml:space="preserve">아모레퍼시픽 업무도급</t>
  </si>
  <si>
    <t xml:space="preserve">코스비전 생산도급</t>
  </si>
  <si>
    <t xml:space="preserve">코스비전 업무도급</t>
  </si>
  <si>
    <r>
      <rPr>
        <sz val="9"/>
        <color rgb="FFFF0000"/>
        <rFont val="WenQuanYi Zen Hei"/>
        <family val="2"/>
      </rPr>
      <t xml:space="preserve">코스비전 임률 미입력 시 해당 행은 </t>
    </r>
    <r>
      <rPr>
        <sz val="9"/>
        <color rgb="FFFF0000"/>
        <rFont val="맑은 고딕"/>
        <family val="0"/>
        <charset val="1"/>
      </rPr>
      <t xml:space="preserve">0</t>
    </r>
    <r>
      <rPr>
        <sz val="9"/>
        <color rgb="FFFF0000"/>
        <rFont val="WenQuanYi Zen Hei"/>
        <family val="2"/>
      </rPr>
      <t xml:space="preserve">으로 계산된다</t>
    </r>
    <r>
      <rPr>
        <sz val="9"/>
        <color rgb="FFFF0000"/>
        <rFont val="맑은 고딕"/>
        <family val="0"/>
        <charset val="1"/>
      </rPr>
      <t xml:space="preserve">. </t>
    </r>
    <r>
      <rPr>
        <sz val="9"/>
        <color rgb="FFFF0000"/>
        <rFont val="WenQuanYi Zen Hei"/>
        <family val="2"/>
      </rPr>
      <t xml:space="preserve">임률이 서로 다른 계약의 합계액은 대외 제시용으로 쓰지 말 것</t>
    </r>
    <r>
      <rPr>
        <sz val="9"/>
        <color rgb="FFFF0000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</si>
  <si>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[2] </t>
    </r>
    <r>
      <rPr>
        <b val="true"/>
        <sz val="11"/>
        <color rgb="FF1F3864"/>
        <rFont val="WenQuanYi Zen Hei"/>
        <family val="2"/>
      </rPr>
      <t xml:space="preserve">효율 </t>
    </r>
    <r>
      <rPr>
        <b val="true"/>
        <sz val="11"/>
        <color rgb="FF1F3864"/>
        <rFont val="맑은 고딕"/>
        <family val="0"/>
        <charset val="1"/>
      </rPr>
      <t xml:space="preserve">GAP </t>
    </r>
    <r>
      <rPr>
        <b val="true"/>
        <sz val="11"/>
        <color rgb="FF1F3864"/>
        <rFont val="WenQuanYi Zen Hei"/>
        <family val="2"/>
      </rPr>
      <t xml:space="preserve">환산 — </t>
    </r>
    <r>
      <rPr>
        <b val="true"/>
        <sz val="11"/>
        <color rgb="FF1F3864"/>
        <rFont val="맑은 고딕"/>
        <family val="0"/>
        <charset val="1"/>
      </rPr>
      <t xml:space="preserve">KPI </t>
    </r>
    <r>
      <rPr>
        <b val="true"/>
        <sz val="11"/>
        <color rgb="FF1F3864"/>
        <rFont val="WenQuanYi Zen Hei"/>
        <family val="2"/>
      </rPr>
      <t xml:space="preserve">미달 비용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추정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</si>
  <si>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t xml:space="preserve">목표효율</t>
  </si>
  <si>
    <t xml:space="preserve">GAP(%p)</t>
  </si>
  <si>
    <r>
      <rPr>
        <b val="true"/>
        <sz val="10"/>
        <color rgb="FFFFFFFF"/>
        <rFont val="WenQuanYi Zen Hei"/>
        <family val="2"/>
      </rPr>
      <t xml:space="preserve">월 </t>
    </r>
    <r>
      <rPr>
        <b val="true"/>
        <sz val="10"/>
        <color rgb="FFFFFFFF"/>
        <rFont val="맑은 고딕"/>
        <family val="0"/>
        <charset val="1"/>
      </rPr>
      <t xml:space="preserve">GAP </t>
    </r>
    <r>
      <rPr>
        <b val="true"/>
        <sz val="10"/>
        <color rgb="FFFFFFFF"/>
        <rFont val="WenQuanYi Zen Hei"/>
        <family val="2"/>
      </rPr>
      <t xml:space="preserve">공수</t>
    </r>
  </si>
  <si>
    <t xml:space="preserve">월 환산액</t>
  </si>
  <si>
    <t xml:space="preserve">연 환산액</t>
  </si>
  <si>
    <r>
      <rPr>
        <sz val="9"/>
        <color rgb="FF808080"/>
        <rFont val="맑은 고딕"/>
        <family val="0"/>
        <charset val="1"/>
      </rPr>
      <t xml:space="preserve">[1] LOSS </t>
    </r>
    <r>
      <rPr>
        <sz val="9"/>
        <color rgb="FF808080"/>
        <rFont val="WenQuanYi Zen Hei"/>
        <family val="2"/>
      </rPr>
      <t xml:space="preserve">비용은 실제 비조업 공수 기준 — 정산</t>
    </r>
    <r>
      <rPr>
        <sz val="9"/>
        <color rgb="FF808080"/>
        <rFont val="맑은 고딕"/>
        <family val="0"/>
        <charset val="1"/>
      </rPr>
      <t xml:space="preserve">·</t>
    </r>
    <r>
      <rPr>
        <sz val="9"/>
        <color rgb="FF808080"/>
        <rFont val="WenQuanYi Zen Hei"/>
        <family val="2"/>
      </rPr>
      <t xml:space="preserve">협상 근거</t>
    </r>
    <r>
      <rPr>
        <sz val="9"/>
        <color rgb="FF808080"/>
        <rFont val="맑은 고딕"/>
        <family val="0"/>
        <charset val="1"/>
      </rPr>
      <t xml:space="preserve">. [2] </t>
    </r>
    <r>
      <rPr>
        <sz val="9"/>
        <color rgb="FF808080"/>
        <rFont val="WenQuanYi Zen Hei"/>
        <family val="2"/>
      </rPr>
      <t xml:space="preserve">효율 </t>
    </r>
    <r>
      <rPr>
        <sz val="9"/>
        <color rgb="FF808080"/>
        <rFont val="맑은 고딕"/>
        <family val="0"/>
        <charset val="1"/>
      </rPr>
      <t xml:space="preserve">GAP</t>
    </r>
    <r>
      <rPr>
        <sz val="9"/>
        <color rgb="FF808080"/>
        <rFont val="WenQuanYi Zen Hei"/>
        <family val="2"/>
      </rPr>
      <t xml:space="preserve">은 </t>
    </r>
    <r>
      <rPr>
        <sz val="9"/>
        <color rgb="FF808080"/>
        <rFont val="맑은 고딕"/>
        <family val="0"/>
        <charset val="1"/>
      </rPr>
      <t xml:space="preserve">KPI </t>
    </r>
    <r>
      <rPr>
        <sz val="9"/>
        <color rgb="FF808080"/>
        <rFont val="WenQuanYi Zen Hei"/>
        <family val="2"/>
      </rPr>
      <t xml:space="preserve">미달의 기회비용 추정치</t>
    </r>
    <r>
      <rPr>
        <sz val="9"/>
        <color rgb="FF808080"/>
        <rFont val="맑은 고딕"/>
        <family val="0"/>
        <charset val="1"/>
      </rPr>
      <t xml:space="preserve">. </t>
    </r>
    <r>
      <rPr>
        <sz val="9"/>
        <color rgb="FF808080"/>
        <rFont val="WenQuanYi Zen Hei"/>
        <family val="2"/>
      </rPr>
      <t xml:space="preserve">두 값은 성격이 달라 합산하지 않는다</t>
    </r>
    <r>
      <rPr>
        <sz val="9"/>
        <color rgb="FF808080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</si>
  <si>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[3] </t>
    </r>
    <r>
      <rPr>
        <b val="true"/>
        <sz val="11"/>
        <color rgb="FF1F3864"/>
        <rFont val="WenQuanYi Zen Hei"/>
        <family val="2"/>
      </rPr>
      <t xml:space="preserve">도급귀책 </t>
    </r>
    <r>
      <rPr>
        <b val="true"/>
        <sz val="11"/>
        <color rgb="FF1F3864"/>
        <rFont val="맑은 고딕"/>
        <family val="0"/>
        <charset val="1"/>
      </rPr>
      <t xml:space="preserve">LOSS </t>
    </r>
    <r>
      <rPr>
        <b val="true"/>
        <sz val="11"/>
        <color rgb="FF1F3864"/>
        <rFont val="WenQuanYi Zen Hei"/>
        <family val="2"/>
      </rPr>
      <t xml:space="preserve">저감 시나리오 — 연간 절감액</t>
    </r>
  </si>
  <si>
    <t xml:space="preserve">시나리오</t>
  </si>
  <si>
    <t xml:space="preserve">저감률</t>
  </si>
  <si>
    <r>
      <rPr>
        <b val="true"/>
        <sz val="10"/>
        <color rgb="FFFFFFFF"/>
        <rFont val="WenQuanYi Zen Hei"/>
        <family val="2"/>
      </rPr>
      <t xml:space="preserve">연 절감액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원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</si>
  <si>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비고</t>
  </si>
  <si>
    <t xml:space="preserve">보수</t>
  </si>
  <si>
    <r>
      <rPr>
        <sz val="9"/>
        <color rgb="FF808080"/>
        <rFont val="맑은 고딕"/>
        <family val="0"/>
        <charset val="1"/>
      </rPr>
      <t xml:space="preserve">3</t>
    </r>
    <r>
      <rPr>
        <sz val="9"/>
        <color rgb="FF808080"/>
        <rFont val="WenQuanYi Zen Hei"/>
        <family val="2"/>
      </rPr>
      <t xml:space="preserve">대 항목 중 </t>
    </r>
    <r>
      <rPr>
        <sz val="9"/>
        <color rgb="FF808080"/>
        <rFont val="맑은 고딕"/>
        <family val="0"/>
        <charset val="1"/>
      </rPr>
      <t xml:space="preserve">1</t>
    </r>
    <r>
      <rPr>
        <sz val="9"/>
        <color rgb="FF808080"/>
        <rFont val="WenQuanYi Zen Hei"/>
        <family val="2"/>
      </rPr>
      <t xml:space="preserve">개만 정착</t>
    </r>
  </si>
  <si>
    <t xml:space="preserve">기준</t>
  </si>
  <si>
    <r>
      <rPr>
        <sz val="9"/>
        <color rgb="FF808080"/>
        <rFont val="맑은 고딕"/>
        <family val="0"/>
        <charset val="1"/>
      </rPr>
      <t xml:space="preserve">BY27 </t>
    </r>
    <r>
      <rPr>
        <sz val="9"/>
        <color rgb="FF808080"/>
        <rFont val="WenQuanYi Zen Hei"/>
        <family val="2"/>
      </rPr>
      <t xml:space="preserve">목표 — 과제 </t>
    </r>
    <r>
      <rPr>
        <sz val="9"/>
        <color rgb="FF808080"/>
        <rFont val="맑은 고딕"/>
        <family val="0"/>
        <charset val="1"/>
      </rPr>
      <t xml:space="preserve">A-02</t>
    </r>
  </si>
  <si>
    <t xml:space="preserve">도전</t>
  </si>
  <si>
    <r>
      <rPr>
        <sz val="9"/>
        <color rgb="FF808080"/>
        <rFont val="WenQuanYi Zen Hei"/>
        <family val="2"/>
      </rPr>
      <t xml:space="preserve">라인 효율관리</t>
    </r>
    <r>
      <rPr>
        <sz val="9"/>
        <color rgb="FF808080"/>
        <rFont val="맑은 고딕"/>
        <family val="0"/>
        <charset val="1"/>
      </rPr>
      <t xml:space="preserve">(A-03) </t>
    </r>
    <r>
      <rPr>
        <sz val="9"/>
        <color rgb="FF808080"/>
        <rFont val="WenQuanYi Zen Hei"/>
        <family val="2"/>
      </rPr>
      <t xml:space="preserve">동반 성공 시</t>
    </r>
  </si>
  <si>
    <r>
      <rPr>
        <b val="true"/>
        <sz val="16"/>
        <color rgb="FF1F3864"/>
        <rFont val="맑은 고딕"/>
        <family val="0"/>
        <charset val="1"/>
      </rPr>
      <t xml:space="preserve">06. BY27 </t>
    </r>
    <r>
      <rPr>
        <b val="true"/>
        <sz val="16"/>
        <color rgb="FF1F3864"/>
        <rFont val="WenQuanYi Zen Hei"/>
        <family val="2"/>
      </rPr>
      <t xml:space="preserve">인력 운영계획</t>
    </r>
  </si>
  <si>
    <r>
      <rPr>
        <sz val="9"/>
        <color rgb="FF808080"/>
        <rFont val="WenQuanYi Zen Hei"/>
        <family val="2"/>
      </rPr>
      <t xml:space="preserve">정원 대비 월별 재직</t>
    </r>
    <r>
      <rPr>
        <sz val="9"/>
        <color rgb="FF808080"/>
        <rFont val="맑은 고딕"/>
        <family val="0"/>
        <charset val="1"/>
      </rPr>
      <t xml:space="preserve">/</t>
    </r>
    <r>
      <rPr>
        <sz val="9"/>
        <color rgb="FF808080"/>
        <rFont val="WenQuanYi Zen Hei"/>
        <family val="2"/>
      </rPr>
      <t xml:space="preserve">결원</t>
    </r>
    <r>
      <rPr>
        <sz val="9"/>
        <color rgb="FF808080"/>
        <rFont val="맑은 고딕"/>
        <family val="0"/>
        <charset val="1"/>
      </rPr>
      <t xml:space="preserve">/</t>
    </r>
    <r>
      <rPr>
        <sz val="9"/>
        <color rgb="FF808080"/>
        <rFont val="WenQuanYi Zen Hei"/>
        <family val="2"/>
      </rPr>
      <t xml:space="preserve">신규</t>
    </r>
    <r>
      <rPr>
        <sz val="9"/>
        <color rgb="FF808080"/>
        <rFont val="맑은 고딕"/>
        <family val="0"/>
        <charset val="1"/>
      </rPr>
      <t xml:space="preserve">/</t>
    </r>
    <r>
      <rPr>
        <sz val="9"/>
        <color rgb="FF808080"/>
        <rFont val="WenQuanYi Zen Hei"/>
        <family val="2"/>
      </rPr>
      <t xml:space="preserve">퇴사를 입력하면 결원율</t>
    </r>
    <r>
      <rPr>
        <sz val="9"/>
        <color rgb="FF808080"/>
        <rFont val="맑은 고딕"/>
        <family val="0"/>
        <charset val="1"/>
      </rPr>
      <t xml:space="preserve">·</t>
    </r>
    <r>
      <rPr>
        <sz val="9"/>
        <color rgb="FF808080"/>
        <rFont val="WenQuanYi Zen Hei"/>
        <family val="2"/>
      </rPr>
      <t xml:space="preserve">이직률이 산출된다</t>
    </r>
    <r>
      <rPr>
        <sz val="9"/>
        <color rgb="FF808080"/>
        <rFont val="맑은 고딕"/>
        <family val="0"/>
        <charset val="1"/>
      </rPr>
      <t xml:space="preserve">.</t>
    </r>
  </si>
  <si>
    <r>
      <rPr>
        <b val="true"/>
        <sz val="11"/>
        <color rgb="FF1F3864"/>
        <rFont val="맑은 고딕"/>
        <family val="0"/>
        <charset val="1"/>
      </rPr>
      <t xml:space="preserve">[1] </t>
    </r>
    <r>
      <rPr>
        <b val="true"/>
        <sz val="11"/>
        <color rgb="FF1F3864"/>
        <rFont val="WenQuanYi Zen Hei"/>
        <family val="2"/>
      </rPr>
      <t xml:space="preserve">정원 </t>
    </r>
    <r>
      <rPr>
        <b val="true"/>
        <sz val="11"/>
        <color rgb="FF1F3864"/>
        <rFont val="맑은 고딕"/>
        <family val="0"/>
        <charset val="1"/>
      </rPr>
      <t xml:space="preserve">· </t>
    </r>
    <r>
      <rPr>
        <b val="true"/>
        <sz val="11"/>
        <color rgb="FF1F3864"/>
        <rFont val="WenQuanYi Zen Hei"/>
        <family val="2"/>
      </rPr>
      <t xml:space="preserve">계약 </t>
    </r>
    <r>
      <rPr>
        <b val="true"/>
        <sz val="11"/>
        <color rgb="FF1F3864"/>
        <rFont val="맑은 고딕"/>
        <family val="0"/>
        <charset val="1"/>
      </rPr>
      <t xml:space="preserve">4</t>
    </r>
    <r>
      <rPr>
        <b val="true"/>
        <sz val="11"/>
        <color rgb="FF1F3864"/>
        <rFont val="WenQuanYi Zen Hei"/>
        <family val="2"/>
      </rPr>
      <t xml:space="preserve">축</t>
    </r>
  </si>
  <si>
    <r>
      <rPr>
        <b val="true"/>
        <sz val="10"/>
        <color rgb="FFFFFFFF"/>
        <rFont val="WenQuanYi Zen Hei"/>
        <family val="2"/>
      </rPr>
      <t xml:space="preserve">정원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명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</si>
  <si>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t xml:space="preserve">구성비</t>
  </si>
  <si>
    <t xml:space="preserve">세탁실 별도정산 포함</t>
  </si>
  <si>
    <r>
      <rPr>
        <b val="true"/>
        <sz val="11"/>
        <color rgb="FF1F3864"/>
        <rFont val="맑은 고딕"/>
        <family val="0"/>
        <charset val="1"/>
      </rPr>
      <t xml:space="preserve">[2] </t>
    </r>
    <r>
      <rPr>
        <b val="true"/>
        <sz val="11"/>
        <color rgb="FF1F3864"/>
        <rFont val="WenQuanYi Zen Hei"/>
        <family val="2"/>
      </rPr>
      <t xml:space="preserve">월별 인력 실적 </t>
    </r>
    <r>
      <rPr>
        <b val="true"/>
        <sz val="11"/>
        <color rgb="FF1F3864"/>
        <rFont val="맑은 고딕"/>
        <family val="0"/>
        <charset val="1"/>
      </rPr>
      <t xml:space="preserve">(</t>
    </r>
    <r>
      <rPr>
        <b val="true"/>
        <sz val="11"/>
        <color rgb="FF1F3864"/>
        <rFont val="WenQuanYi Zen Hei"/>
        <family val="2"/>
      </rPr>
      <t xml:space="preserve">입력</t>
    </r>
    <r>
      <rPr>
        <b val="true"/>
        <sz val="11"/>
        <color rgb="FF1F3864"/>
        <rFont val="맑은 고딕"/>
        <family val="0"/>
        <charset val="1"/>
      </rPr>
      <t xml:space="preserve">)</t>
    </r>
  </si>
  <si>
    <t xml:space="preserve">연평균</t>
  </si>
  <si>
    <t xml:space="preserve">평균 재직인원</t>
  </si>
  <si>
    <t xml:space="preserve">명</t>
  </si>
  <si>
    <t xml:space="preserve">월평균 실 재직</t>
  </si>
  <si>
    <t xml:space="preserve">결원 인원</t>
  </si>
  <si>
    <t xml:space="preserve">정원 − 재직</t>
  </si>
  <si>
    <t xml:space="preserve">신규 입사</t>
  </si>
  <si>
    <t xml:space="preserve">월 입사자</t>
  </si>
  <si>
    <t xml:space="preserve">퇴사</t>
  </si>
  <si>
    <t xml:space="preserve">월 퇴사자</t>
  </si>
  <si>
    <r>
      <rPr>
        <sz val="10"/>
        <color rgb="FF000000"/>
        <rFont val="맑은 고딕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주 내 조기이탈</t>
    </r>
  </si>
  <si>
    <r>
      <rPr>
        <sz val="9"/>
        <color rgb="FF808080"/>
        <rFont val="WenQuanYi Zen Hei"/>
        <family val="2"/>
      </rPr>
      <t xml:space="preserve">입사 </t>
    </r>
    <r>
      <rPr>
        <sz val="9"/>
        <color rgb="FF808080"/>
        <rFont val="맑은 고딕"/>
        <family val="0"/>
        <charset val="1"/>
      </rPr>
      <t xml:space="preserve">4</t>
    </r>
    <r>
      <rPr>
        <sz val="9"/>
        <color rgb="FF808080"/>
        <rFont val="WenQuanYi Zen Hei"/>
        <family val="2"/>
      </rPr>
      <t xml:space="preserve">주 이내 퇴사</t>
    </r>
  </si>
  <si>
    <t xml:space="preserve">결원율</t>
  </si>
  <si>
    <t xml:space="preserve">이직률</t>
  </si>
  <si>
    <t xml:space="preserve">조기이탈 비중</t>
  </si>
  <si>
    <r>
      <rPr>
        <sz val="9"/>
        <color rgb="FF808080"/>
        <rFont val="맑은 고딕"/>
        <family val="0"/>
        <charset val="1"/>
      </rPr>
      <t xml:space="preserve">4</t>
    </r>
    <r>
      <rPr>
        <sz val="9"/>
        <color rgb="FF808080"/>
        <rFont val="WenQuanYi Zen Hei"/>
        <family val="2"/>
      </rPr>
      <t xml:space="preserve">주 내 이탈 </t>
    </r>
    <r>
      <rPr>
        <sz val="9"/>
        <color rgb="FF808080"/>
        <rFont val="맑은 고딕"/>
        <family val="0"/>
        <charset val="1"/>
      </rPr>
      <t xml:space="preserve">÷ </t>
    </r>
    <r>
      <rPr>
        <sz val="9"/>
        <color rgb="FF808080"/>
        <rFont val="WenQuanYi Zen Hei"/>
        <family val="2"/>
      </rPr>
      <t xml:space="preserve">신규 입사</t>
    </r>
  </si>
  <si>
    <r>
      <rPr>
        <sz val="9"/>
        <color rgb="FF808080"/>
        <rFont val="WenQuanYi Zen Hei"/>
        <family val="2"/>
      </rPr>
      <t xml:space="preserve">결원 </t>
    </r>
    <r>
      <rPr>
        <sz val="9"/>
        <color rgb="FF808080"/>
        <rFont val="맑은 고딕"/>
        <family val="0"/>
        <charset val="1"/>
      </rPr>
      <t xml:space="preserve">1</t>
    </r>
    <r>
      <rPr>
        <sz val="9"/>
        <color rgb="FF808080"/>
        <rFont val="WenQuanYi Zen Hei"/>
        <family val="2"/>
      </rPr>
      <t xml:space="preserve">명당 월 손실 </t>
    </r>
    <r>
      <rPr>
        <sz val="9"/>
        <color rgb="FF808080"/>
        <rFont val="맑은 고딕"/>
        <family val="0"/>
        <charset val="1"/>
      </rPr>
      <t xml:space="preserve">= </t>
    </r>
    <r>
      <rPr>
        <sz val="9"/>
        <color rgb="FF808080"/>
        <rFont val="WenQuanYi Zen Hei"/>
        <family val="2"/>
      </rPr>
      <t xml:space="preserve">월 기준공수 </t>
    </r>
    <r>
      <rPr>
        <sz val="9"/>
        <color rgb="FF808080"/>
        <rFont val="맑은 고딕"/>
        <family val="0"/>
        <charset val="1"/>
      </rPr>
      <t xml:space="preserve">× </t>
    </r>
    <r>
      <rPr>
        <sz val="9"/>
        <color rgb="FF808080"/>
        <rFont val="WenQuanYi Zen Hei"/>
        <family val="2"/>
      </rPr>
      <t xml:space="preserve">임률</t>
    </r>
    <r>
      <rPr>
        <sz val="9"/>
        <color rgb="FF808080"/>
        <rFont val="맑은 고딕"/>
        <family val="0"/>
        <charset val="1"/>
      </rPr>
      <t xml:space="preserve">. </t>
    </r>
    <r>
      <rPr>
        <sz val="9"/>
        <color rgb="FF808080"/>
        <rFont val="WenQuanYi Zen Hei"/>
        <family val="2"/>
      </rPr>
      <t xml:space="preserve">결원율 </t>
    </r>
    <r>
      <rPr>
        <sz val="9"/>
        <color rgb="FF808080"/>
        <rFont val="맑은 고딕"/>
        <family val="0"/>
        <charset val="1"/>
      </rPr>
      <t xml:space="preserve">1%p </t>
    </r>
    <r>
      <rPr>
        <sz val="9"/>
        <color rgb="FF808080"/>
        <rFont val="WenQuanYi Zen Hei"/>
        <family val="2"/>
      </rPr>
      <t xml:space="preserve">상승은 </t>
    </r>
    <r>
      <rPr>
        <sz val="9"/>
        <color rgb="FF808080"/>
        <rFont val="맑은 고딕"/>
        <family val="0"/>
        <charset val="1"/>
      </rPr>
      <t xml:space="preserve">AP </t>
    </r>
    <r>
      <rPr>
        <sz val="9"/>
        <color rgb="FF808080"/>
        <rFont val="WenQuanYi Zen Hei"/>
        <family val="2"/>
      </rPr>
      <t xml:space="preserve">생산도급 기준 월 약 </t>
    </r>
    <r>
      <rPr>
        <sz val="9"/>
        <color rgb="FF808080"/>
        <rFont val="맑은 고딕"/>
        <family val="0"/>
        <charset val="1"/>
      </rPr>
      <t xml:space="preserve">940</t>
    </r>
    <r>
      <rPr>
        <sz val="9"/>
        <color rgb="FF808080"/>
        <rFont val="WenQuanYi Zen Hei"/>
        <family val="2"/>
      </rPr>
      <t xml:space="preserve">만원 수준의 공수 부족을 뜻한다</t>
    </r>
    <r>
      <rPr>
        <sz val="9"/>
        <color rgb="FF808080"/>
        <rFont val="맑은 고딕"/>
        <family val="0"/>
        <charset val="1"/>
      </rPr>
      <t xml:space="preserve">(153</t>
    </r>
    <r>
      <rPr>
        <sz val="9"/>
        <color rgb="FF808080"/>
        <rFont val="WenQuanYi Zen Hei"/>
        <family val="2"/>
      </rPr>
      <t xml:space="preserve">명</t>
    </r>
    <r>
      <rPr>
        <sz val="9"/>
        <color rgb="FF808080"/>
        <rFont val="맑은 고딕"/>
        <family val="0"/>
        <charset val="1"/>
      </rPr>
      <t xml:space="preserve">×174H×35,121</t>
    </r>
    <r>
      <rPr>
        <sz val="9"/>
        <color rgb="FF808080"/>
        <rFont val="WenQuanYi Zen Hei"/>
        <family val="2"/>
      </rPr>
      <t xml:space="preserve">원</t>
    </r>
    <r>
      <rPr>
        <sz val="9"/>
        <color rgb="FF808080"/>
        <rFont val="맑은 고딕"/>
        <family val="0"/>
        <charset val="1"/>
      </rPr>
      <t xml:space="preserve">×1%). </t>
    </r>
    <r>
      <rPr>
        <sz val="9"/>
        <color rgb="FF808080"/>
        <rFont val="WenQuanYi Zen Hei"/>
        <family val="2"/>
      </rPr>
      <t xml:space="preserve">대체 잔업으로 메우면 비용은 더 커진다</t>
    </r>
    <r>
      <rPr>
        <sz val="9"/>
        <color rgb="FF808080"/>
        <rFont val="맑은 고딕"/>
        <family val="0"/>
        <charset val="1"/>
      </rPr>
      <t xml:space="preserve">.</t>
    </r>
  </si>
  <si>
    <r>
      <rPr>
        <b val="true"/>
        <sz val="16"/>
        <color rgb="FF1F3864"/>
        <rFont val="맑은 고딕"/>
        <family val="0"/>
        <charset val="1"/>
      </rPr>
      <t xml:space="preserve">07. BY27 </t>
    </r>
    <r>
      <rPr>
        <b val="true"/>
        <sz val="16"/>
        <color rgb="FF1F3864"/>
        <rFont val="WenQuanYi Zen Hei"/>
        <family val="2"/>
      </rPr>
      <t xml:space="preserve">리스크 등록부</t>
    </r>
  </si>
  <si>
    <r>
      <rPr>
        <sz val="9"/>
        <color rgb="FF808080"/>
        <rFont val="WenQuanYi Zen Hei"/>
        <family val="2"/>
      </rPr>
      <t xml:space="preserve">영향</t>
    </r>
    <r>
      <rPr>
        <sz val="9"/>
        <color rgb="FF808080"/>
        <rFont val="맑은 고딕"/>
        <family val="0"/>
        <charset val="1"/>
      </rPr>
      <t xml:space="preserve">×</t>
    </r>
    <r>
      <rPr>
        <sz val="9"/>
        <color rgb="FF808080"/>
        <rFont val="WenQuanYi Zen Hei"/>
        <family val="2"/>
      </rPr>
      <t xml:space="preserve">발생가능성으로 우선순위를 정하고</t>
    </r>
    <r>
      <rPr>
        <sz val="9"/>
        <color rgb="FF808080"/>
        <rFont val="맑은 고딕"/>
        <family val="0"/>
        <charset val="1"/>
      </rPr>
      <t xml:space="preserve">, </t>
    </r>
    <r>
      <rPr>
        <sz val="9"/>
        <color rgb="FF808080"/>
        <rFont val="WenQuanYi Zen Hei"/>
        <family val="2"/>
      </rPr>
      <t xml:space="preserve">점검주기에 맞춰 상태를 갱신한다</t>
    </r>
    <r>
      <rPr>
        <sz val="9"/>
        <color rgb="FF808080"/>
        <rFont val="맑은 고딕"/>
        <family val="0"/>
        <charset val="1"/>
      </rPr>
      <t xml:space="preserve">.</t>
    </r>
  </si>
  <si>
    <t xml:space="preserve">리스크</t>
  </si>
  <si>
    <t xml:space="preserve">영향</t>
  </si>
  <si>
    <t xml:space="preserve">발생가능성</t>
  </si>
  <si>
    <t xml:space="preserve">대응 방안</t>
  </si>
  <si>
    <t xml:space="preserve">점검주기</t>
  </si>
  <si>
    <t xml:space="preserve">상태</t>
  </si>
  <si>
    <t xml:space="preserve">R1</t>
  </si>
  <si>
    <t xml:space="preserve">노무</t>
  </si>
  <si>
    <r>
      <rPr>
        <sz val="10"/>
        <color rgb="FF000000"/>
        <rFont val="WenQuanYi Zen Hei"/>
        <family val="2"/>
      </rPr>
      <t xml:space="preserve">불법파견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위장도급</t>
    </r>
    <r>
      <rPr>
        <sz val="10"/>
        <color rgb="FF000000"/>
        <rFont val="맑은 고딕"/>
        <family val="0"/>
        <charset val="1"/>
      </rPr>
      <t xml:space="preserve">) </t>
    </r>
    <r>
      <rPr>
        <sz val="10"/>
        <color rgb="FF000000"/>
        <rFont val="WenQuanYi Zen Hei"/>
        <family val="2"/>
      </rPr>
      <t xml:space="preserve">판정 — 현장 직접 지시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근태 직접관리 적발</t>
    </r>
  </si>
  <si>
    <t xml:space="preserve">高</t>
  </si>
  <si>
    <t xml:space="preserve">中</t>
  </si>
  <si>
    <r>
      <rPr>
        <sz val="9"/>
        <color rgb="FF000000"/>
        <rFont val="WenQuanYi Zen Hei"/>
        <family val="2"/>
      </rPr>
      <t xml:space="preserve">지시는 도급사 관리라인 경유 표준화 </t>
    </r>
    <r>
      <rPr>
        <sz val="9"/>
        <color rgb="FF000000"/>
        <rFont val="맑은 고딕"/>
        <family val="0"/>
        <charset val="1"/>
      </rPr>
      <t xml:space="preserve">· </t>
    </r>
    <r>
      <rPr>
        <sz val="9"/>
        <color rgb="FF000000"/>
        <rFont val="WenQuanYi Zen Hei"/>
        <family val="2"/>
      </rPr>
      <t xml:space="preserve">반기 자체진단 </t>
    </r>
    <r>
      <rPr>
        <sz val="9"/>
        <color rgb="FF000000"/>
        <rFont val="맑은 고딕"/>
        <family val="0"/>
        <charset val="1"/>
      </rPr>
      <t xml:space="preserve">130</t>
    </r>
    <r>
      <rPr>
        <sz val="9"/>
        <color rgb="FF000000"/>
        <rFont val="WenQuanYi Zen Hei"/>
        <family val="2"/>
      </rPr>
      <t xml:space="preserve">항목 </t>
    </r>
    <r>
      <rPr>
        <sz val="9"/>
        <color rgb="FF000000"/>
        <rFont val="맑은 고딕"/>
        <family val="0"/>
        <charset val="1"/>
      </rPr>
      <t xml:space="preserve">· </t>
    </r>
    <r>
      <rPr>
        <sz val="9"/>
        <color rgb="FF000000"/>
        <rFont val="WenQuanYi Zen Hei"/>
        <family val="2"/>
      </rPr>
      <t xml:space="preserve">지시기록 보존</t>
    </r>
  </si>
  <si>
    <t xml:space="preserve">반기</t>
  </si>
  <si>
    <t xml:space="preserve">미착수</t>
  </si>
  <si>
    <t xml:space="preserve">R2</t>
  </si>
  <si>
    <t xml:space="preserve">안전</t>
  </si>
  <si>
    <r>
      <rPr>
        <sz val="10"/>
        <color rgb="FF000000"/>
        <rFont val="WenQuanYi Zen Hei"/>
        <family val="2"/>
      </rPr>
      <t xml:space="preserve">중대재해 발생 — 중대재해처벌법 수사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가동 중단</t>
    </r>
  </si>
  <si>
    <t xml:space="preserve">低</t>
  </si>
  <si>
    <r>
      <rPr>
        <sz val="9"/>
        <color rgb="FF000000"/>
        <rFont val="WenQuanYi Zen Hei"/>
        <family val="2"/>
      </rPr>
      <t xml:space="preserve">연간 안전보건계획 </t>
    </r>
    <r>
      <rPr>
        <sz val="9"/>
        <color rgb="FF000000"/>
        <rFont val="맑은 고딕"/>
        <family val="0"/>
        <charset val="1"/>
      </rPr>
      <t xml:space="preserve">· </t>
    </r>
    <r>
      <rPr>
        <sz val="9"/>
        <color rgb="FF000000"/>
        <rFont val="WenQuanYi Zen Hei"/>
        <family val="2"/>
      </rPr>
      <t xml:space="preserve">위험성평가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정기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WenQuanYi Zen Hei"/>
        <family val="2"/>
      </rPr>
      <t xml:space="preserve">수시</t>
    </r>
    <r>
      <rPr>
        <sz val="9"/>
        <color rgb="FF000000"/>
        <rFont val="맑은 고딕"/>
        <family val="0"/>
        <charset val="1"/>
      </rPr>
      <t xml:space="preserve">) · </t>
    </r>
    <r>
      <rPr>
        <sz val="9"/>
        <color rgb="FF000000"/>
        <rFont val="WenQuanYi Zen Hei"/>
        <family val="2"/>
      </rPr>
      <t xml:space="preserve">아차사고 신고제</t>
    </r>
  </si>
  <si>
    <t xml:space="preserve">R3</t>
  </si>
  <si>
    <t xml:space="preserve">품질</t>
  </si>
  <si>
    <r>
      <rPr>
        <sz val="10"/>
        <color rgb="FF000000"/>
        <rFont val="WenQuanYi Zen Hei"/>
        <family val="2"/>
      </rPr>
      <t xml:space="preserve">도급귀책 클레임 증가 — </t>
    </r>
    <r>
      <rPr>
        <sz val="10"/>
        <color rgb="FF000000"/>
        <rFont val="맑은 고딕"/>
        <family val="0"/>
        <charset val="1"/>
      </rPr>
      <t xml:space="preserve">BY28 </t>
    </r>
    <r>
      <rPr>
        <sz val="10"/>
        <color rgb="FF000000"/>
        <rFont val="WenQuanYi Zen Hei"/>
        <family val="2"/>
      </rPr>
      <t xml:space="preserve">단가협상 불리</t>
    </r>
  </si>
  <si>
    <r>
      <rPr>
        <sz val="9"/>
        <color rgb="FF000000"/>
        <rFont val="WenQuanYi Zen Hei"/>
        <family val="2"/>
      </rPr>
      <t xml:space="preserve">초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중</t>
    </r>
    <r>
      <rPr>
        <sz val="9"/>
        <color rgb="FF000000"/>
        <rFont val="맑은 고딕"/>
        <family val="0"/>
        <charset val="1"/>
      </rPr>
      <t xml:space="preserve">·</t>
    </r>
    <r>
      <rPr>
        <sz val="9"/>
        <color rgb="FF000000"/>
        <rFont val="WenQuanYi Zen Hei"/>
        <family val="2"/>
      </rPr>
      <t xml:space="preserve">종물 검사 준수율 관리 </t>
    </r>
    <r>
      <rPr>
        <sz val="9"/>
        <color rgb="FF000000"/>
        <rFont val="맑은 고딕"/>
        <family val="0"/>
        <charset val="1"/>
      </rPr>
      <t xml:space="preserve">· OPL </t>
    </r>
    <r>
      <rPr>
        <sz val="9"/>
        <color rgb="FF000000"/>
        <rFont val="WenQuanYi Zen Hei"/>
        <family val="2"/>
      </rPr>
      <t xml:space="preserve">즉시 전개</t>
    </r>
  </si>
  <si>
    <t xml:space="preserve">R4</t>
  </si>
  <si>
    <t xml:space="preserve">인력</t>
  </si>
  <si>
    <r>
      <rPr>
        <sz val="10"/>
        <color rgb="FF000000"/>
        <rFont val="WenQuanYi Zen Hei"/>
        <family val="2"/>
      </rPr>
      <t xml:space="preserve">결원율 상승 — 잔업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대체 비용 증가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WenQuanYi Zen Hei"/>
        <family val="2"/>
      </rPr>
      <t xml:space="preserve">효율 저하</t>
    </r>
  </si>
  <si>
    <r>
      <rPr>
        <sz val="9"/>
        <color rgb="FF000000"/>
        <rFont val="WenQuanYi Zen Hei"/>
        <family val="2"/>
      </rPr>
      <t xml:space="preserve">채용 파이프라인 상시화 </t>
    </r>
    <r>
      <rPr>
        <sz val="9"/>
        <color rgb="FF000000"/>
        <rFont val="맑은 고딕"/>
        <family val="0"/>
        <charset val="1"/>
      </rPr>
      <t xml:space="preserve">· </t>
    </r>
    <r>
      <rPr>
        <sz val="9"/>
        <color rgb="FF000000"/>
        <rFont val="WenQuanYi Zen Hei"/>
        <family val="2"/>
      </rPr>
      <t xml:space="preserve">입사 </t>
    </r>
    <r>
      <rPr>
        <sz val="9"/>
        <color rgb="FF000000"/>
        <rFont val="맑은 고딕"/>
        <family val="0"/>
        <charset val="1"/>
      </rPr>
      <t xml:space="preserve">4</t>
    </r>
    <r>
      <rPr>
        <sz val="9"/>
        <color rgb="FF000000"/>
        <rFont val="WenQuanYi Zen Hei"/>
        <family val="2"/>
      </rPr>
      <t xml:space="preserve">주 온보딩 </t>
    </r>
    <r>
      <rPr>
        <sz val="9"/>
        <color rgb="FF000000"/>
        <rFont val="맑은 고딕"/>
        <family val="0"/>
        <charset val="1"/>
      </rPr>
      <t xml:space="preserve">· </t>
    </r>
    <r>
      <rPr>
        <sz val="9"/>
        <color rgb="FF000000"/>
        <rFont val="WenQuanYi Zen Hei"/>
        <family val="2"/>
      </rPr>
      <t xml:space="preserve">다능공 확대</t>
    </r>
  </si>
  <si>
    <t xml:space="preserve">R5</t>
  </si>
  <si>
    <t xml:space="preserve">계약</t>
  </si>
  <si>
    <r>
      <rPr>
        <sz val="10"/>
        <color rgb="FF000000"/>
        <rFont val="맑은 고딕"/>
        <family val="0"/>
        <charset val="1"/>
      </rPr>
      <t xml:space="preserve">BY28 </t>
    </r>
    <r>
      <rPr>
        <sz val="10"/>
        <color rgb="FF000000"/>
        <rFont val="WenQuanYi Zen Hei"/>
        <family val="2"/>
      </rPr>
      <t xml:space="preserve">단가 인상 미달 — 손익 악화</t>
    </r>
  </si>
  <si>
    <r>
      <rPr>
        <sz val="9"/>
        <color rgb="FF000000"/>
        <rFont val="맑은 고딕"/>
        <family val="0"/>
        <charset val="1"/>
      </rPr>
      <t xml:space="preserve">LOSS </t>
    </r>
    <r>
      <rPr>
        <sz val="9"/>
        <color rgb="FF000000"/>
        <rFont val="WenQuanYi Zen Hei"/>
        <family val="2"/>
      </rPr>
      <t xml:space="preserve">귀속 근거 축적</t>
    </r>
    <r>
      <rPr>
        <sz val="9"/>
        <color rgb="FF000000"/>
        <rFont val="맑은 고딕"/>
        <family val="0"/>
        <charset val="1"/>
      </rPr>
      <t xml:space="preserve">(1~10</t>
    </r>
    <r>
      <rPr>
        <sz val="9"/>
        <color rgb="FF000000"/>
        <rFont val="WenQuanYi Zen Hei"/>
        <family val="2"/>
      </rPr>
      <t xml:space="preserve">월</t>
    </r>
    <r>
      <rPr>
        <sz val="9"/>
        <color rgb="FF000000"/>
        <rFont val="맑은 고딕"/>
        <family val="0"/>
        <charset val="1"/>
      </rPr>
      <t xml:space="preserve">) · </t>
    </r>
    <r>
      <rPr>
        <sz val="9"/>
        <color rgb="FF000000"/>
        <rFont val="WenQuanYi Zen Hei"/>
        <family val="2"/>
      </rPr>
      <t xml:space="preserve">산출내역서 정교화</t>
    </r>
  </si>
  <si>
    <t xml:space="preserve">R6</t>
  </si>
  <si>
    <r>
      <rPr>
        <sz val="10"/>
        <color rgb="FF000000"/>
        <rFont val="WenQuanYi Zen Hei"/>
        <family val="2"/>
      </rPr>
      <t xml:space="preserve">하절기 온열질환 — 가동률 저하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산재</t>
    </r>
  </si>
  <si>
    <r>
      <rPr>
        <sz val="9"/>
        <color rgb="FF000000"/>
        <rFont val="맑은 고딕"/>
        <family val="0"/>
        <charset val="1"/>
      </rPr>
      <t xml:space="preserve">HeatWatch </t>
    </r>
    <r>
      <rPr>
        <sz val="9"/>
        <color rgb="FF000000"/>
        <rFont val="WenQuanYi Zen Hei"/>
        <family val="2"/>
      </rPr>
      <t xml:space="preserve">체감온도 기준 휴식 프로토콜 </t>
    </r>
    <r>
      <rPr>
        <sz val="9"/>
        <color rgb="FF000000"/>
        <rFont val="맑은 고딕"/>
        <family val="0"/>
        <charset val="1"/>
      </rPr>
      <t xml:space="preserve">· </t>
    </r>
    <r>
      <rPr>
        <sz val="9"/>
        <color rgb="FF000000"/>
        <rFont val="WenQuanYi Zen Hei"/>
        <family val="2"/>
      </rPr>
      <t xml:space="preserve">냉방물품 사전확보</t>
    </r>
  </si>
  <si>
    <r>
      <rPr>
        <sz val="9"/>
        <color rgb="FF000000"/>
        <rFont val="WenQuanYi Zen Hei"/>
        <family val="2"/>
      </rPr>
      <t xml:space="preserve">일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하절기</t>
    </r>
    <r>
      <rPr>
        <sz val="9"/>
        <color rgb="FF000000"/>
        <rFont val="맑은 고딕"/>
        <family val="0"/>
        <charset val="1"/>
      </rPr>
      <t xml:space="preserve">)</t>
    </r>
  </si>
  <si>
    <t xml:space="preserve">R7</t>
  </si>
  <si>
    <t xml:space="preserve">정산</t>
  </si>
  <si>
    <r>
      <rPr>
        <sz val="10"/>
        <color rgb="FF000000"/>
        <rFont val="맑은 고딕"/>
        <family val="0"/>
        <charset val="1"/>
      </rPr>
      <t xml:space="preserve">4</t>
    </r>
    <r>
      <rPr>
        <sz val="10"/>
        <color rgb="FF000000"/>
        <rFont val="WenQuanYi Zen Hei"/>
        <family val="2"/>
      </rPr>
      <t xml:space="preserve">축 분리집계 오류 — 청구 누락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WenQuanYi Zen Hei"/>
        <family val="2"/>
      </rPr>
      <t xml:space="preserve">과청구</t>
    </r>
  </si>
  <si>
    <r>
      <rPr>
        <sz val="9"/>
        <color rgb="FF000000"/>
        <rFont val="WenQuanYi Zen Hei"/>
        <family val="2"/>
      </rPr>
      <t xml:space="preserve">마감 체크리스트 </t>
    </r>
    <r>
      <rPr>
        <sz val="9"/>
        <color rgb="FF000000"/>
        <rFont val="맑은 고딕"/>
        <family val="0"/>
        <charset val="1"/>
      </rPr>
      <t xml:space="preserve">· </t>
    </r>
    <r>
      <rPr>
        <sz val="9"/>
        <color rgb="FF000000"/>
        <rFont val="WenQuanYi Zen Hei"/>
        <family val="2"/>
      </rPr>
      <t xml:space="preserve">이중 검증 </t>
    </r>
    <r>
      <rPr>
        <sz val="9"/>
        <color rgb="FF000000"/>
        <rFont val="맑은 고딕"/>
        <family val="0"/>
        <charset val="1"/>
      </rPr>
      <t xml:space="preserve">· </t>
    </r>
    <r>
      <rPr>
        <sz val="9"/>
        <color rgb="FF000000"/>
        <rFont val="WenQuanYi Zen Hei"/>
        <family val="2"/>
      </rPr>
      <t xml:space="preserve">세탁실 별도정산 증빙 표준</t>
    </r>
  </si>
  <si>
    <t xml:space="preserve">R8</t>
  </si>
  <si>
    <t xml:space="preserve">데이터</t>
  </si>
  <si>
    <t xml:space="preserve">플랫폼 미사용 — 계획 근거 데이터 소실</t>
  </si>
  <si>
    <r>
      <rPr>
        <sz val="9"/>
        <color rgb="FF000000"/>
        <rFont val="WenQuanYi Zen Hei"/>
        <family val="2"/>
      </rPr>
      <t xml:space="preserve">주간 업로드 준수율 </t>
    </r>
    <r>
      <rPr>
        <sz val="9"/>
        <color rgb="FF000000"/>
        <rFont val="맑은 고딕"/>
        <family val="0"/>
        <charset val="1"/>
      </rPr>
      <t xml:space="preserve">KPI</t>
    </r>
    <r>
      <rPr>
        <sz val="9"/>
        <color rgb="FF000000"/>
        <rFont val="WenQuanYi Zen Hei"/>
        <family val="2"/>
      </rPr>
      <t xml:space="preserve">화 </t>
    </r>
    <r>
      <rPr>
        <sz val="9"/>
        <color rgb="FF000000"/>
        <rFont val="맑은 고딕"/>
        <family val="0"/>
        <charset val="1"/>
      </rPr>
      <t xml:space="preserve">· </t>
    </r>
    <r>
      <rPr>
        <sz val="9"/>
        <color rgb="FF000000"/>
        <rFont val="WenQuanYi Zen Hei"/>
        <family val="2"/>
      </rPr>
      <t xml:space="preserve">미업로드 주차 소명</t>
    </r>
  </si>
  <si>
    <t xml:space="preserve">최우선</t>
  </si>
  <si>
    <r>
      <rPr>
        <b val="true"/>
        <sz val="10"/>
        <color rgb="FF000000"/>
        <rFont val="맑은 고딕"/>
        <family val="0"/>
        <charset val="1"/>
      </rPr>
      <t xml:space="preserve">R1(</t>
    </r>
    <r>
      <rPr>
        <b val="true"/>
        <sz val="10"/>
        <color rgb="FF000000"/>
        <rFont val="WenQuanYi Zen Hei"/>
        <family val="2"/>
      </rPr>
      <t xml:space="preserve">불법파견</t>
    </r>
    <r>
      <rPr>
        <b val="true"/>
        <sz val="10"/>
        <color rgb="FF000000"/>
        <rFont val="맑은 고딕"/>
        <family val="0"/>
        <charset val="1"/>
      </rPr>
      <t xml:space="preserve">)·R5(BY28 </t>
    </r>
    <r>
      <rPr>
        <b val="true"/>
        <sz val="10"/>
        <color rgb="FF000000"/>
        <rFont val="WenQuanYi Zen Hei"/>
        <family val="2"/>
      </rPr>
      <t xml:space="preserve">단가</t>
    </r>
    <r>
      <rPr>
        <b val="true"/>
        <sz val="10"/>
        <color rgb="FF000000"/>
        <rFont val="맑은 고딕"/>
        <family val="0"/>
        <charset val="1"/>
      </rPr>
      <t xml:space="preserve">) — </t>
    </r>
    <r>
      <rPr>
        <b val="true"/>
        <sz val="10"/>
        <color rgb="FF000000"/>
        <rFont val="WenQuanYi Zen Hei"/>
        <family val="2"/>
      </rPr>
      <t xml:space="preserve">발생 시 계약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손익에 직접 타격</t>
    </r>
    <r>
      <rPr>
        <b val="true"/>
        <sz val="10"/>
        <color rgb="FF000000"/>
        <rFont val="맑은 고딕"/>
        <family val="0"/>
        <charset val="1"/>
      </rPr>
      <t xml:space="preserve">. </t>
    </r>
    <r>
      <rPr>
        <b val="true"/>
        <sz val="10"/>
        <color rgb="FF000000"/>
        <rFont val="WenQuanYi Zen Hei"/>
        <family val="2"/>
      </rPr>
      <t xml:space="preserve">나머지 과제보다 우선 자원 배분</t>
    </r>
    <r>
      <rPr>
        <b val="true"/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</si>
  <si>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6"/>
        <color rgb="FF1F3864"/>
        <rFont val="맑은 고딕"/>
        <family val="0"/>
        <charset val="1"/>
      </rPr>
      <t xml:space="preserve">08. </t>
    </r>
    <r>
      <rPr>
        <b val="true"/>
        <sz val="16"/>
        <color rgb="FF1F3864"/>
        <rFont val="WenQuanYi Zen Hei"/>
        <family val="2"/>
      </rPr>
      <t xml:space="preserve">센터장 정기 운영 루틴</t>
    </r>
  </si>
  <si>
    <r>
      <rPr>
        <sz val="9"/>
        <color rgb="FF808080"/>
        <rFont val="WenQuanYi Zen Hei"/>
        <family val="2"/>
      </rPr>
      <t xml:space="preserve">연간계획이 굴러가게 하는 반복 업무</t>
    </r>
    <r>
      <rPr>
        <sz val="9"/>
        <color rgb="FF808080"/>
        <rFont val="맑은 고딕"/>
        <family val="0"/>
        <charset val="1"/>
      </rPr>
      <t xml:space="preserve">. </t>
    </r>
    <r>
      <rPr>
        <sz val="9"/>
        <color rgb="FF808080"/>
        <rFont val="WenQuanYi Zen Hei"/>
        <family val="2"/>
      </rPr>
      <t xml:space="preserve">주기별로 고정한다</t>
    </r>
    <r>
      <rPr>
        <sz val="9"/>
        <color rgb="FF808080"/>
        <rFont val="맑은 고딕"/>
        <family val="0"/>
        <charset val="1"/>
      </rPr>
      <t xml:space="preserve">.</t>
    </r>
  </si>
  <si>
    <t xml:space="preserve">주기</t>
  </si>
  <si>
    <t xml:space="preserve">업무</t>
  </si>
  <si>
    <t xml:space="preserve">일간</t>
  </si>
  <si>
    <r>
      <rPr>
        <sz val="10"/>
        <color rgb="FF000000"/>
        <rFont val="WenQuanYi Zen Hei"/>
        <family val="2"/>
      </rPr>
      <t xml:space="preserve">조회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WenQuanYi Zen Hei"/>
        <family val="2"/>
      </rPr>
      <t xml:space="preserve">관리라인 경유</t>
    </r>
    <r>
      <rPr>
        <sz val="10"/>
        <color rgb="FF000000"/>
        <rFont val="맑은 고딕"/>
        <family val="0"/>
        <charset val="1"/>
      </rPr>
      <t xml:space="preserve">) · </t>
    </r>
    <r>
      <rPr>
        <sz val="10"/>
        <color rgb="FF000000"/>
        <rFont val="WenQuanYi Zen Hei"/>
        <family val="2"/>
      </rPr>
      <t xml:space="preserve">전일 </t>
    </r>
    <r>
      <rPr>
        <sz val="10"/>
        <color rgb="FF000000"/>
        <rFont val="맑은 고딕"/>
        <family val="0"/>
        <charset val="1"/>
      </rPr>
      <t xml:space="preserve">LOSS/</t>
    </r>
    <r>
      <rPr>
        <sz val="10"/>
        <color rgb="FF000000"/>
        <rFont val="WenQuanYi Zen Hei"/>
        <family val="2"/>
      </rPr>
      <t xml:space="preserve">결원 확인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현장 안전순회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이슈 에스컬레이션</t>
    </r>
  </si>
  <si>
    <t xml:space="preserve">주간</t>
  </si>
  <si>
    <r>
      <rPr>
        <sz val="10"/>
        <color rgb="FF000000"/>
        <rFont val="WenQuanYi Zen Hei"/>
        <family val="2"/>
      </rPr>
      <t xml:space="preserve">월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주간생산계획 업로드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배포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수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조장회의 </t>
    </r>
    <r>
      <rPr>
        <sz val="10"/>
        <color rgb="FF000000"/>
        <rFont val="맑은 고딕"/>
        <family val="0"/>
        <charset val="1"/>
      </rPr>
      <t xml:space="preserve">/ </t>
    </r>
    <r>
      <rPr>
        <sz val="10"/>
        <color rgb="FF000000"/>
        <rFont val="WenQuanYi Zen Hei"/>
        <family val="2"/>
      </rPr>
      <t xml:space="preserve">금</t>
    </r>
    <r>
      <rPr>
        <sz val="10"/>
        <color rgb="FF000000"/>
        <rFont val="맑은 고딕"/>
        <family val="0"/>
        <charset val="1"/>
      </rPr>
      <t xml:space="preserve">: </t>
    </r>
    <r>
      <rPr>
        <sz val="10"/>
        <color rgb="FF000000"/>
        <rFont val="WenQuanYi Zen Hei"/>
        <family val="2"/>
      </rPr>
      <t xml:space="preserve">주간 실적</t>
    </r>
    <r>
      <rPr>
        <sz val="10"/>
        <color rgb="FF000000"/>
        <rFont val="맑은 고딕"/>
        <family val="0"/>
        <charset val="1"/>
      </rPr>
      <t xml:space="preserve">·</t>
    </r>
    <r>
      <rPr>
        <sz val="10"/>
        <color rgb="FF000000"/>
        <rFont val="WenQuanYi Zen Hei"/>
        <family val="2"/>
      </rPr>
      <t xml:space="preserve">효율 리뷰 및 차주 인력배치</t>
    </r>
  </si>
  <si>
    <t xml:space="preserve">월간</t>
  </si>
  <si>
    <r>
      <rPr>
        <sz val="10"/>
        <color rgb="FF000000"/>
        <rFont val="WenQuanYi Zen Hei"/>
        <family val="2"/>
      </rPr>
      <t xml:space="preserve">월마감 정산</t>
    </r>
    <r>
      <rPr>
        <sz val="10"/>
        <color rgb="FF000000"/>
        <rFont val="맑은 고딕"/>
        <family val="0"/>
        <charset val="1"/>
      </rPr>
      <t xml:space="preserve">(D+3) · </t>
    </r>
    <r>
      <rPr>
        <sz val="10"/>
        <color rgb="FF000000"/>
        <rFont val="WenQuanYi Zen Hei"/>
        <family val="2"/>
      </rPr>
      <t xml:space="preserve">본사 월간 경영보고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안전보건협의체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교육 이수 점검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지연오더 취합</t>
    </r>
  </si>
  <si>
    <r>
      <rPr>
        <sz val="10"/>
        <color rgb="FF000000"/>
        <rFont val="WenQuanYi Zen Hei"/>
        <family val="2"/>
      </rPr>
      <t xml:space="preserve">분기 경영보고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법정 안전보건교육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위험성평가 </t>
    </r>
    <r>
      <rPr>
        <sz val="10"/>
        <color rgb="FF000000"/>
        <rFont val="맑은 고딕"/>
        <family val="0"/>
        <charset val="1"/>
      </rPr>
      <t xml:space="preserve">· KPI </t>
    </r>
    <r>
      <rPr>
        <sz val="10"/>
        <color rgb="FF000000"/>
        <rFont val="WenQuanYi Zen Hei"/>
        <family val="2"/>
      </rPr>
      <t xml:space="preserve">목표 대비 실적 리뷰</t>
    </r>
  </si>
  <si>
    <r>
      <rPr>
        <sz val="10"/>
        <color rgb="FF000000"/>
        <rFont val="WenQuanYi Zen Hei"/>
        <family val="2"/>
      </rPr>
      <t xml:space="preserve">불법파견 자체진단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인사평가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인력계획 재수립</t>
    </r>
  </si>
  <si>
    <t xml:space="preserve">연간</t>
  </si>
  <si>
    <r>
      <rPr>
        <sz val="10"/>
        <color rgb="FF000000"/>
        <rFont val="WenQuanYi Zen Hei"/>
        <family val="2"/>
      </rPr>
      <t xml:space="preserve">안전보건계획 수립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단가협상</t>
    </r>
    <r>
      <rPr>
        <sz val="10"/>
        <color rgb="FF000000"/>
        <rFont val="맑은 고딕"/>
        <family val="0"/>
        <charset val="1"/>
      </rPr>
      <t xml:space="preserve">(BY28) · </t>
    </r>
    <r>
      <rPr>
        <sz val="10"/>
        <color rgb="FF000000"/>
        <rFont val="WenQuanYi Zen Hei"/>
        <family val="2"/>
      </rPr>
      <t xml:space="preserve">차년도 운영계획 확정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WenQuanYi Zen Hei"/>
        <family val="2"/>
      </rPr>
      <t xml:space="preserve">결산보고</t>
    </r>
  </si>
  <si>
    <t xml:space="preserve">지휘 원칙</t>
  </si>
  <si>
    <r>
      <rPr>
        <b val="true"/>
        <sz val="10"/>
        <color rgb="FF000000"/>
        <rFont val="WenQuanYi Zen Hei"/>
        <family val="2"/>
      </rPr>
      <t xml:space="preserve">현장 작업자에 대한 지시는 반드시 도급사 관리라인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조장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반장</t>
    </r>
    <r>
      <rPr>
        <b val="true"/>
        <sz val="10"/>
        <color rgb="FF000000"/>
        <rFont val="맑은 고딕"/>
        <family val="0"/>
        <charset val="1"/>
      </rPr>
      <t xml:space="preserve">)</t>
    </r>
    <r>
      <rPr>
        <b val="true"/>
        <sz val="10"/>
        <color rgb="FF000000"/>
        <rFont val="WenQuanYi Zen Hei"/>
        <family val="2"/>
      </rPr>
      <t xml:space="preserve">을 경유한다</t>
    </r>
    <r>
      <rPr>
        <b val="true"/>
        <sz val="10"/>
        <color rgb="FF000000"/>
        <rFont val="맑은 고딕"/>
        <family val="0"/>
        <charset val="1"/>
      </rPr>
      <t xml:space="preserve">. </t>
    </r>
    <r>
      <rPr>
        <b val="true"/>
        <sz val="10"/>
        <color rgb="FF000000"/>
        <rFont val="WenQuanYi Zen Hei"/>
        <family val="2"/>
      </rPr>
      <t xml:space="preserve">직접 지휘</t>
    </r>
    <r>
      <rPr>
        <b val="true"/>
        <sz val="10"/>
        <color rgb="FF000000"/>
        <rFont val="맑은 고딕"/>
        <family val="0"/>
        <charset val="1"/>
      </rPr>
      <t xml:space="preserve">·</t>
    </r>
    <r>
      <rPr>
        <b val="true"/>
        <sz val="10"/>
        <color rgb="FF000000"/>
        <rFont val="WenQuanYi Zen Hei"/>
        <family val="2"/>
      </rPr>
      <t xml:space="preserve">근태 직접관리는 불법파견</t>
    </r>
    <r>
      <rPr>
        <b val="true"/>
        <sz val="10"/>
        <color rgb="FF000000"/>
        <rFont val="맑은 고딕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위장도급</t>
    </r>
    <r>
      <rPr>
        <b val="true"/>
        <sz val="10"/>
        <color rgb="FF000000"/>
        <rFont val="맑은 고딕"/>
        <family val="0"/>
        <charset val="1"/>
      </rPr>
      <t xml:space="preserve">) </t>
    </r>
    <r>
      <rPr>
        <b val="true"/>
        <sz val="10"/>
        <color rgb="FF000000"/>
        <rFont val="WenQuanYi Zen Hei"/>
        <family val="2"/>
      </rPr>
      <t xml:space="preserve">판정 근거가 된다 — 리스크 </t>
    </r>
    <r>
      <rPr>
        <b val="true"/>
        <sz val="10"/>
        <color rgb="FF000000"/>
        <rFont val="맑은 고딕"/>
        <family val="0"/>
        <charset val="1"/>
      </rPr>
      <t xml:space="preserve">R1.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</si>
</sst>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"/>
    <numFmt numFmtId="167" formatCode="0.0%"/>
    <numFmt numFmtId="168" formatCode="0.00%"/>
    <numFmt numFmtId="169" formatCode="0%"/>
  </numFmts>
  <fonts count="4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color rgb="FF1F3864"/>
      <name val="맑은 고딕"/>
      <family val="0"/>
      <charset val="1"/>
    </font>
    <font>
      <b val="true"/>
      <sz val="28"/>
      <color rgb="FF1F3864"/>
      <name val="WenQuanYi Zen Hei"/>
      <family val="2"/>
    </font>
    <font>
      <sz val="13"/>
      <color rgb="FF2F5597"/>
      <name val="WenQuanYi Zen Hei"/>
      <family val="2"/>
    </font>
    <font>
      <sz val="13"/>
      <color rgb="FF2F5597"/>
      <name val="맑은 고딕"/>
      <family val="0"/>
      <charset val="1"/>
    </font>
    <font>
      <sz val="11"/>
      <color rgb="FF808080"/>
      <name val="WenQuanYi Zen Hei"/>
      <family val="2"/>
    </font>
    <font>
      <sz val="11"/>
      <color rgb="FF808080"/>
      <name val="맑은 고딕"/>
      <family val="0"/>
      <charset val="1"/>
    </font>
    <font>
      <b val="true"/>
      <sz val="10"/>
      <color rgb="FFFFFFFF"/>
      <name val="WenQuanYi Zen Hei"/>
      <family val="2"/>
    </font>
    <font>
      <sz val="10"/>
      <color rgb="FF000000"/>
      <name val="WenQuanYi Zen Hei"/>
      <family val="2"/>
    </font>
    <font>
      <sz val="10"/>
      <color rgb="FF000000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  <font>
      <b val="true"/>
      <sz val="16"/>
      <color rgb="FF1F3864"/>
      <name val="맑은 고딕"/>
      <family val="0"/>
      <charset val="1"/>
    </font>
    <font>
      <b val="true"/>
      <sz val="16"/>
      <color rgb="FF1F3864"/>
      <name val="WenQuanYi Zen Hei"/>
      <family val="2"/>
    </font>
    <font>
      <sz val="9"/>
      <color rgb="FF808080"/>
      <name val="WenQuanYi Zen Hei"/>
      <family val="2"/>
    </font>
    <font>
      <sz val="9"/>
      <color rgb="FF808080"/>
      <name val="맑은 고딕"/>
      <family val="0"/>
      <charset val="1"/>
    </font>
    <font>
      <b val="true"/>
      <sz val="11"/>
      <color rgb="FF1F3864"/>
      <name val="맑은 고딕"/>
      <family val="0"/>
      <charset val="1"/>
    </font>
    <font>
      <b val="true"/>
      <sz val="11"/>
      <color rgb="FF1F3864"/>
      <name val="WenQuanYi Zen Hei"/>
      <family val="2"/>
    </font>
    <font>
      <sz val="10"/>
      <color rgb="FF0000FF"/>
      <name val="맑은 고딕"/>
      <family val="0"/>
      <charset val="1"/>
    </font>
    <font>
      <b val="true"/>
      <sz val="10"/>
      <color rgb="FF000000"/>
      <name val="WenQuanYi Zen Hei"/>
      <family val="2"/>
    </font>
    <font>
      <b val="true"/>
      <sz val="10"/>
      <color rgb="FF000000"/>
      <name val="맑은 고딕"/>
      <family val="0"/>
      <charset val="1"/>
    </font>
    <font>
      <sz val="9"/>
      <color rgb="FFFF0000"/>
      <name val="WenQuanYi Zen Hei"/>
      <family val="2"/>
    </font>
    <font>
      <sz val="9"/>
      <color rgb="FFFF0000"/>
      <name val="맑은 고딕"/>
      <family val="0"/>
      <charset val="1"/>
    </font>
    <font>
      <sz val="10"/>
      <color rgb="FF0000FF"/>
      <name val="WenQuanYi Zen Hei"/>
      <family val="2"/>
    </font>
    <font>
      <sz val="10"/>
      <color rgb="FF008000"/>
      <name val="WenQuanYi Zen Hei"/>
      <family val="2"/>
    </font>
    <font>
      <sz val="10"/>
      <color rgb="FF008000"/>
      <name val="맑은 고딕"/>
      <family val="0"/>
      <charset val="1"/>
    </font>
    <font>
      <sz val="10"/>
      <color rgb="FF808080"/>
      <name val="맑은 고딕"/>
      <family val="0"/>
      <charset val="1"/>
    </font>
    <font>
      <b val="true"/>
      <sz val="9"/>
      <color rgb="FF3B82F6"/>
      <name val="맑은 고딕"/>
      <family val="0"/>
      <charset val="1"/>
    </font>
    <font>
      <sz val="9"/>
      <color rgb="FF000000"/>
      <name val="WenQuanYi Zen Hei"/>
      <family val="2"/>
    </font>
    <font>
      <sz val="9"/>
      <color rgb="FF000000"/>
      <name val="맑은 고딕"/>
      <family val="0"/>
      <charset val="1"/>
    </font>
    <font>
      <b val="true"/>
      <sz val="9"/>
      <color rgb="FFC00000"/>
      <name val="WenQuanYi Zen Hei"/>
      <family val="2"/>
    </font>
    <font>
      <b val="true"/>
      <sz val="9"/>
      <color rgb="FF22C55E"/>
      <name val="맑은 고딕"/>
      <family val="0"/>
      <charset val="1"/>
    </font>
    <font>
      <b val="true"/>
      <sz val="9"/>
      <color rgb="FFEF4444"/>
      <name val="맑은 고딕"/>
      <family val="0"/>
      <charset val="1"/>
    </font>
    <font>
      <b val="true"/>
      <sz val="9"/>
      <color rgb="FFF59E0B"/>
      <name val="맑은 고딕"/>
      <family val="0"/>
      <charset val="1"/>
    </font>
    <font>
      <b val="true"/>
      <sz val="9"/>
      <color rgb="FFA855F7"/>
      <name val="맑은 고딕"/>
      <family val="0"/>
      <charset val="1"/>
    </font>
    <font>
      <b val="true"/>
      <sz val="9"/>
      <color rgb="FFC00000"/>
      <name val="맑은 고딕"/>
      <family val="0"/>
      <charset val="1"/>
    </font>
    <font>
      <b val="true"/>
      <sz val="9"/>
      <color rgb="FF000000"/>
      <name val="맑은 고딕"/>
      <family val="0"/>
      <charset val="1"/>
    </font>
    <font>
      <b val="true"/>
      <sz val="9"/>
      <color rgb="FFED7D31"/>
      <name val="맑은 고딕"/>
      <family val="0"/>
      <charset val="1"/>
    </font>
    <font>
      <b val="true"/>
      <sz val="9"/>
      <color rgb="FF70AD47"/>
      <name val="맑은 고딕"/>
      <family val="0"/>
      <charset val="1"/>
    </font>
    <font>
      <b val="true"/>
      <sz val="9"/>
      <color rgb="FF000000"/>
      <name val="WenQuanYi Zen Hei"/>
      <family val="2"/>
    </font>
    <font>
      <b val="true"/>
      <sz val="10"/>
      <color rgb="FFC00000"/>
      <name val="WenQuanYi Zen Hei"/>
      <family val="2"/>
    </font>
    <font>
      <b val="true"/>
      <sz val="10"/>
      <color rgb="FFED7D31"/>
      <name val="WenQuanYi Zen Hei"/>
      <family val="2"/>
    </font>
    <font>
      <b val="true"/>
      <sz val="10"/>
      <color rgb="FF70AD47"/>
      <name val="WenQuanYi Zen Hei"/>
      <family val="2"/>
    </font>
  </fonts>
  <fills count="13">
    <fill>
      <patternFill patternType="none"/>
    </fill>
    <fill>
      <patternFill patternType="gray125"/>
    </fill>
    <fill>
      <patternFill patternType="solid">
        <fgColor rgb="FF2F5597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C6EFCE"/>
      </patternFill>
    </fill>
    <fill>
      <patternFill patternType="solid">
        <fgColor rgb="FFF2F5FB"/>
        <bgColor rgb="FFFFFFFF"/>
      </patternFill>
    </fill>
    <fill>
      <patternFill patternType="solid">
        <fgColor rgb="FF3B82F6"/>
        <bgColor rgb="FF0066CC"/>
      </patternFill>
    </fill>
    <fill>
      <patternFill patternType="solid">
        <fgColor rgb="FF22C55E"/>
        <bgColor rgb="FF33CCCC"/>
      </patternFill>
    </fill>
    <fill>
      <patternFill patternType="solid">
        <fgColor rgb="FFEF4444"/>
        <bgColor rgb="FFED7D31"/>
      </patternFill>
    </fill>
    <fill>
      <patternFill patternType="solid">
        <fgColor rgb="FFF59E0B"/>
        <bgColor rgb="FFED7D31"/>
      </patternFill>
    </fill>
    <fill>
      <patternFill patternType="solid">
        <fgColor rgb="FFA855F7"/>
        <bgColor rgb="FF9999FF"/>
      </patternFill>
    </fill>
    <fill>
      <patternFill patternType="solid">
        <fgColor rgb="FFC00000"/>
        <bgColor rgb="FF9C000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맑은 고딕"/>
        <charset val="1"/>
        <family val="0"/>
        <color rgb="FF006100"/>
      </font>
      <fill>
        <patternFill>
          <bgColor rgb="FFC6EFCE"/>
        </patternFill>
      </fill>
    </dxf>
    <dxf>
      <font>
        <name val="맑은 고딕"/>
        <charset val="1"/>
        <family val="0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EF4444"/>
      <rgbColor rgb="FFF2F5FB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B82F6"/>
      <rgbColor rgb="FF33CCCC"/>
      <rgbColor rgb="FF99CC00"/>
      <rgbColor rgb="FFFFCC00"/>
      <rgbColor rgb="FFF59E0B"/>
      <rgbColor rgb="FFED7D31"/>
      <rgbColor rgb="FFA855F7"/>
      <rgbColor rgb="FF70AD47"/>
      <rgbColor rgb="FF1F3864"/>
      <rgbColor rgb="FF22C55E"/>
      <rgbColor rgb="FF0061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6"/>
  </cols>
  <sheetData>
    <row r="2" customFormat="false" ht="36.55" hidden="false" customHeight="false" outlineLevel="0" collapsed="false">
      <c r="B2" s="1" t="s">
        <v>0</v>
      </c>
    </row>
    <row r="4" customFormat="false" ht="17.15" hidden="false" customHeight="false" outlineLevel="0" collapsed="false">
      <c r="B4" s="2" t="s">
        <v>1</v>
      </c>
    </row>
    <row r="5" customFormat="false" ht="15" hidden="false" customHeight="false" outlineLevel="0" collapsed="false">
      <c r="B5" s="3" t="s">
        <v>2</v>
      </c>
    </row>
    <row r="8" customFormat="false" ht="33.75" hidden="false" customHeight="true" outlineLevel="0" collapsed="false">
      <c r="B8" s="4" t="s">
        <v>3</v>
      </c>
      <c r="C8" s="5" t="s">
        <v>4</v>
      </c>
    </row>
    <row r="9" customFormat="false" ht="33.75" hidden="false" customHeight="true" outlineLevel="0" collapsed="false">
      <c r="B9" s="4" t="s">
        <v>5</v>
      </c>
      <c r="C9" s="5" t="s">
        <v>6</v>
      </c>
    </row>
    <row r="10" customFormat="false" ht="33.75" hidden="false" customHeight="true" outlineLevel="0" collapsed="false">
      <c r="B10" s="4" t="s">
        <v>7</v>
      </c>
      <c r="C10" s="6" t="s">
        <v>8</v>
      </c>
    </row>
    <row r="11" customFormat="false" ht="33.75" hidden="false" customHeight="true" outlineLevel="0" collapsed="false">
      <c r="B11" s="4" t="s">
        <v>9</v>
      </c>
      <c r="C11" s="6" t="s">
        <v>10</v>
      </c>
    </row>
    <row r="12" customFormat="false" ht="33.75" hidden="false" customHeight="true" outlineLevel="0" collapsed="false">
      <c r="B12" s="7" t="s">
        <v>11</v>
      </c>
      <c r="C12" s="6" t="s">
        <v>12</v>
      </c>
    </row>
    <row r="13" customFormat="false" ht="33.75" hidden="false" customHeight="true" outlineLevel="0" collapsed="false">
      <c r="B13" s="4" t="s">
        <v>13</v>
      </c>
      <c r="C13" s="5" t="s">
        <v>14</v>
      </c>
    </row>
    <row r="14" customFormat="false" ht="33.75" hidden="false" customHeight="true" outlineLevel="0" collapsed="false">
      <c r="B14" s="4" t="s">
        <v>15</v>
      </c>
      <c r="C14" s="5" t="s">
        <v>16</v>
      </c>
    </row>
    <row r="16" customFormat="false" ht="30" hidden="false" customHeight="true" outlineLevel="0" collapsed="false">
      <c r="B16" s="8" t="s">
        <v>17</v>
      </c>
      <c r="C16" s="6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2"/>
    <col collapsed="false" customWidth="true" hidden="false" outlineLevel="0" max="5" min="4" style="0" width="16"/>
    <col collapsed="false" customWidth="true" hidden="false" outlineLevel="0" max="6" min="6" style="0" width="18"/>
    <col collapsed="false" customWidth="true" hidden="false" outlineLevel="0" max="7" min="7" style="0" width="62"/>
  </cols>
  <sheetData>
    <row r="1" customFormat="false" ht="24" hidden="false" customHeight="true" outlineLevel="0" collapsed="false">
      <c r="A1" s="9" t="s">
        <v>19</v>
      </c>
      <c r="B1" s="9"/>
      <c r="C1" s="9"/>
      <c r="D1" s="9"/>
      <c r="E1" s="9"/>
      <c r="F1" s="9"/>
      <c r="G1" s="9"/>
    </row>
    <row r="2" customFormat="false" ht="13.4" hidden="false" customHeight="false" outlineLevel="0" collapsed="false">
      <c r="A2" s="10" t="s">
        <v>20</v>
      </c>
      <c r="B2" s="10"/>
      <c r="C2" s="10"/>
      <c r="D2" s="10"/>
      <c r="E2" s="10"/>
      <c r="F2" s="10"/>
      <c r="G2" s="10"/>
    </row>
    <row r="3" customFormat="false" ht="15" hidden="false" customHeight="false" outlineLevel="0" collapsed="false">
      <c r="A3" s="11" t="s">
        <v>21</v>
      </c>
    </row>
    <row r="4" customFormat="false" ht="30" hidden="false" customHeight="true" outlineLevel="0" collapsed="false">
      <c r="A4" s="12" t="s">
        <v>22</v>
      </c>
      <c r="B4" s="12" t="s">
        <v>23</v>
      </c>
      <c r="C4" s="12" t="s">
        <v>24</v>
      </c>
      <c r="D4" s="12" t="s">
        <v>25</v>
      </c>
      <c r="E4" s="12" t="s">
        <v>26</v>
      </c>
      <c r="F4" s="12" t="s">
        <v>27</v>
      </c>
      <c r="G4" s="12" t="s">
        <v>28</v>
      </c>
    </row>
    <row r="5" customFormat="false" ht="15" hidden="false" customHeight="false" outlineLevel="0" collapsed="false">
      <c r="A5" s="13" t="s">
        <v>29</v>
      </c>
      <c r="B5" s="13" t="s">
        <v>30</v>
      </c>
      <c r="C5" s="14" t="n">
        <v>153</v>
      </c>
      <c r="D5" s="14" t="n">
        <v>35121</v>
      </c>
      <c r="E5" s="15" t="n">
        <f aca="false">C5*$B$13</f>
        <v>26622</v>
      </c>
      <c r="F5" s="15" t="n">
        <f aca="false">E5*D5</f>
        <v>934991262</v>
      </c>
      <c r="G5" s="16" t="s">
        <v>31</v>
      </c>
    </row>
    <row r="6" customFormat="false" ht="15" hidden="false" customHeight="false" outlineLevel="0" collapsed="false">
      <c r="A6" s="13" t="s">
        <v>29</v>
      </c>
      <c r="B6" s="13" t="s">
        <v>32</v>
      </c>
      <c r="C6" s="14" t="n">
        <v>91</v>
      </c>
      <c r="D6" s="14" t="n">
        <v>35121</v>
      </c>
      <c r="E6" s="15" t="n">
        <f aca="false">C6*$B$13</f>
        <v>15834</v>
      </c>
      <c r="F6" s="15" t="n">
        <f aca="false">E6*D6</f>
        <v>556105914</v>
      </c>
      <c r="G6" s="17" t="s">
        <v>33</v>
      </c>
    </row>
    <row r="7" customFormat="false" ht="15" hidden="false" customHeight="false" outlineLevel="0" collapsed="false">
      <c r="A7" s="13" t="s">
        <v>34</v>
      </c>
      <c r="B7" s="13" t="s">
        <v>30</v>
      </c>
      <c r="C7" s="14" t="n">
        <v>55</v>
      </c>
      <c r="D7" s="14"/>
      <c r="E7" s="15" t="n">
        <f aca="false">C7*$B$13</f>
        <v>9570</v>
      </c>
      <c r="F7" s="15" t="n">
        <f aca="false">E7*D7</f>
        <v>0</v>
      </c>
      <c r="G7" s="16" t="s">
        <v>35</v>
      </c>
    </row>
    <row r="8" customFormat="false" ht="15" hidden="false" customHeight="false" outlineLevel="0" collapsed="false">
      <c r="A8" s="13" t="s">
        <v>34</v>
      </c>
      <c r="B8" s="13" t="s">
        <v>32</v>
      </c>
      <c r="C8" s="14" t="n">
        <v>55</v>
      </c>
      <c r="D8" s="14"/>
      <c r="E8" s="15" t="n">
        <f aca="false">C8*$B$13</f>
        <v>9570</v>
      </c>
      <c r="F8" s="15" t="n">
        <f aca="false">E8*D8</f>
        <v>0</v>
      </c>
      <c r="G8" s="16" t="s">
        <v>35</v>
      </c>
    </row>
    <row r="9" customFormat="false" ht="15" hidden="false" customHeight="false" outlineLevel="0" collapsed="false">
      <c r="A9" s="18" t="s">
        <v>36</v>
      </c>
      <c r="B9" s="19"/>
      <c r="C9" s="20" t="n">
        <f aca="false">SUM(C5:C8)</f>
        <v>354</v>
      </c>
      <c r="D9" s="21" t="s">
        <v>37</v>
      </c>
      <c r="E9" s="20" t="n">
        <f aca="false">SUM(E5:E8)</f>
        <v>61596</v>
      </c>
      <c r="F9" s="20" t="n">
        <f aca="false">SUM(F5:F8)</f>
        <v>1491097176</v>
      </c>
      <c r="G9" s="22" t="s">
        <v>38</v>
      </c>
    </row>
    <row r="11" customFormat="false" ht="15" hidden="false" customHeight="false" outlineLevel="0" collapsed="false">
      <c r="A11" s="11" t="s">
        <v>39</v>
      </c>
    </row>
    <row r="12" customFormat="false" ht="30" hidden="false" customHeight="true" outlineLevel="0" collapsed="false">
      <c r="A12" s="12" t="s">
        <v>40</v>
      </c>
      <c r="B12" s="12" t="s">
        <v>41</v>
      </c>
      <c r="C12" s="12" t="s">
        <v>42</v>
      </c>
      <c r="D12" s="23"/>
      <c r="E12" s="23"/>
      <c r="F12" s="23"/>
      <c r="G12" s="12" t="s">
        <v>28</v>
      </c>
    </row>
    <row r="13" customFormat="false" ht="15" hidden="false" customHeight="false" outlineLevel="0" collapsed="false">
      <c r="A13" s="13" t="s">
        <v>43</v>
      </c>
      <c r="B13" s="24" t="n">
        <v>174</v>
      </c>
      <c r="C13" s="25" t="s">
        <v>44</v>
      </c>
      <c r="D13" s="26"/>
      <c r="E13" s="26"/>
      <c r="F13" s="26"/>
      <c r="G13" s="27" t="s">
        <v>45</v>
      </c>
    </row>
    <row r="14" customFormat="false" ht="15" hidden="false" customHeight="false" outlineLevel="0" collapsed="false">
      <c r="A14" s="13" t="s">
        <v>46</v>
      </c>
      <c r="B14" s="24" t="n">
        <v>12</v>
      </c>
      <c r="C14" s="28" t="s">
        <v>47</v>
      </c>
      <c r="D14" s="26"/>
      <c r="E14" s="26"/>
      <c r="F14" s="26"/>
      <c r="G14" s="27" t="s">
        <v>48</v>
      </c>
    </row>
    <row r="15" customFormat="false" ht="15" hidden="false" customHeight="false" outlineLevel="0" collapsed="false">
      <c r="A15" s="26" t="s">
        <v>49</v>
      </c>
      <c r="B15" s="29" t="n">
        <v>0.06</v>
      </c>
      <c r="C15" s="25" t="s">
        <v>50</v>
      </c>
      <c r="D15" s="26"/>
      <c r="E15" s="26"/>
      <c r="F15" s="26"/>
      <c r="G15" s="27" t="s">
        <v>51</v>
      </c>
    </row>
    <row r="16" customFormat="false" ht="15" hidden="false" customHeight="false" outlineLevel="0" collapsed="false">
      <c r="A16" s="26" t="s">
        <v>52</v>
      </c>
      <c r="B16" s="29" t="n">
        <v>0.52</v>
      </c>
      <c r="C16" s="25" t="s">
        <v>50</v>
      </c>
      <c r="D16" s="26"/>
      <c r="E16" s="26"/>
      <c r="F16" s="26"/>
      <c r="G16" s="16" t="s">
        <v>53</v>
      </c>
    </row>
    <row r="17" customFormat="false" ht="15" hidden="false" customHeight="false" outlineLevel="0" collapsed="false">
      <c r="A17" s="26" t="s">
        <v>54</v>
      </c>
      <c r="B17" s="29" t="n">
        <v>0.88</v>
      </c>
      <c r="C17" s="25" t="s">
        <v>50</v>
      </c>
      <c r="D17" s="26"/>
      <c r="E17" s="26"/>
      <c r="F17" s="26"/>
      <c r="G17" s="27" t="s">
        <v>55</v>
      </c>
    </row>
    <row r="18" customFormat="false" ht="15" hidden="false" customHeight="false" outlineLevel="0" collapsed="false">
      <c r="A18" s="26" t="s">
        <v>56</v>
      </c>
      <c r="B18" s="29" t="n">
        <v>0.9</v>
      </c>
      <c r="C18" s="25" t="s">
        <v>50</v>
      </c>
      <c r="D18" s="26"/>
      <c r="E18" s="26"/>
      <c r="F18" s="26"/>
      <c r="G18" s="16" t="s">
        <v>57</v>
      </c>
    </row>
    <row r="19" customFormat="false" ht="15" hidden="false" customHeight="false" outlineLevel="0" collapsed="false">
      <c r="A19" s="26" t="s">
        <v>58</v>
      </c>
      <c r="B19" s="29" t="n">
        <v>0.038</v>
      </c>
      <c r="C19" s="25" t="s">
        <v>50</v>
      </c>
      <c r="D19" s="26"/>
      <c r="E19" s="26"/>
      <c r="F19" s="26"/>
      <c r="G19" s="27" t="s">
        <v>59</v>
      </c>
    </row>
    <row r="20" customFormat="false" ht="15" hidden="false" customHeight="false" outlineLevel="0" collapsed="false">
      <c r="A20" s="26" t="s">
        <v>60</v>
      </c>
      <c r="B20" s="29" t="n">
        <v>0.042</v>
      </c>
      <c r="C20" s="25" t="s">
        <v>50</v>
      </c>
      <c r="D20" s="26"/>
      <c r="E20" s="26"/>
      <c r="F20" s="26"/>
      <c r="G20" s="27" t="s">
        <v>59</v>
      </c>
    </row>
    <row r="21" customFormat="false" ht="15" hidden="false" customHeight="false" outlineLevel="0" collapsed="false">
      <c r="A21" s="26" t="s">
        <v>61</v>
      </c>
      <c r="B21" s="29" t="n">
        <v>0.45</v>
      </c>
      <c r="C21" s="25" t="s">
        <v>50</v>
      </c>
      <c r="D21" s="26"/>
      <c r="E21" s="26"/>
      <c r="F21" s="26"/>
      <c r="G21" s="27" t="s">
        <v>62</v>
      </c>
    </row>
    <row r="22" customFormat="false" ht="15" hidden="false" customHeight="false" outlineLevel="0" collapsed="false">
      <c r="A22" s="26" t="s">
        <v>63</v>
      </c>
      <c r="B22" s="24" t="n">
        <v>3</v>
      </c>
      <c r="C22" s="28" t="s">
        <v>64</v>
      </c>
      <c r="D22" s="26"/>
      <c r="E22" s="26"/>
      <c r="F22" s="26"/>
      <c r="G22" s="27" t="s">
        <v>59</v>
      </c>
    </row>
    <row r="23" customFormat="false" ht="15" hidden="false" customHeight="false" outlineLevel="0" collapsed="false">
      <c r="A23" s="26" t="s">
        <v>65</v>
      </c>
      <c r="B23" s="24" t="n">
        <v>10</v>
      </c>
      <c r="C23" s="28" t="s">
        <v>64</v>
      </c>
      <c r="D23" s="26"/>
      <c r="E23" s="26"/>
      <c r="F23" s="26"/>
      <c r="G23" s="27" t="s">
        <v>59</v>
      </c>
    </row>
    <row r="24" customFormat="false" ht="15" hidden="false" customHeight="false" outlineLevel="0" collapsed="false">
      <c r="A24" s="26" t="s">
        <v>66</v>
      </c>
      <c r="B24" s="24" t="n">
        <v>5</v>
      </c>
      <c r="C24" s="28" t="s">
        <v>67</v>
      </c>
      <c r="D24" s="26"/>
      <c r="E24" s="26"/>
      <c r="F24" s="26"/>
      <c r="G24" s="27" t="s">
        <v>59</v>
      </c>
    </row>
    <row r="25" customFormat="false" ht="15" hidden="false" customHeight="false" outlineLevel="0" collapsed="false">
      <c r="A25" s="26" t="s">
        <v>68</v>
      </c>
      <c r="B25" s="30" t="n">
        <v>0.0412</v>
      </c>
      <c r="C25" s="25" t="s">
        <v>50</v>
      </c>
      <c r="D25" s="26"/>
      <c r="E25" s="26"/>
      <c r="F25" s="26"/>
      <c r="G25" s="16" t="s">
        <v>69</v>
      </c>
    </row>
    <row r="26" customFormat="false" ht="15" hidden="false" customHeight="false" outlineLevel="0" collapsed="false">
      <c r="A26" s="26" t="s">
        <v>70</v>
      </c>
      <c r="B26" s="30" t="n">
        <v>0.0482</v>
      </c>
      <c r="C26" s="25" t="s">
        <v>50</v>
      </c>
      <c r="D26" s="26"/>
      <c r="E26" s="26"/>
      <c r="F26" s="26"/>
      <c r="G26" s="16" t="s">
        <v>69</v>
      </c>
    </row>
    <row r="27" customFormat="false" ht="15" hidden="false" customHeight="false" outlineLevel="0" collapsed="false">
      <c r="A27" s="13" t="s">
        <v>71</v>
      </c>
      <c r="B27" s="29" t="n">
        <v>0.15</v>
      </c>
      <c r="C27" s="25" t="s">
        <v>50</v>
      </c>
      <c r="D27" s="26"/>
      <c r="E27" s="26"/>
      <c r="F27" s="26"/>
      <c r="G27" s="16" t="s">
        <v>72</v>
      </c>
    </row>
    <row r="30" customFormat="false" ht="15" hidden="false" customHeight="false" outlineLevel="0" collapsed="false">
      <c r="A30" s="8" t="s">
        <v>73</v>
      </c>
      <c r="B30" s="31" t="s">
        <v>74</v>
      </c>
      <c r="C30" s="28" t="s">
        <v>75</v>
      </c>
      <c r="D30" s="32" t="s">
        <v>76</v>
      </c>
      <c r="G30" s="27" t="s">
        <v>77</v>
      </c>
    </row>
  </sheetData>
  <mergeCells count="18">
    <mergeCell ref="A1:G1"/>
    <mergeCell ref="A2:G2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21" min="20" style="0" width="12"/>
  </cols>
  <sheetData>
    <row r="1" customFormat="false" ht="24" hidden="false" customHeight="true" outlineLevel="0" collapsed="false">
      <c r="A1" s="9" t="s">
        <v>78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customFormat="false" ht="13.4" hidden="false" customHeight="false" outlineLevel="0" collapsed="false">
      <c r="A2" s="10" t="s">
        <v>79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</row>
    <row r="4" customFormat="false" ht="30" hidden="false" customHeight="true" outlineLevel="0" collapsed="false">
      <c r="A4" s="23" t="s">
        <v>80</v>
      </c>
      <c r="B4" s="12" t="s">
        <v>81</v>
      </c>
      <c r="C4" s="23" t="s">
        <v>11</v>
      </c>
      <c r="D4" s="12" t="s">
        <v>82</v>
      </c>
      <c r="E4" s="23" t="s">
        <v>83</v>
      </c>
      <c r="F4" s="23" t="s">
        <v>84</v>
      </c>
      <c r="G4" s="12" t="s">
        <v>85</v>
      </c>
      <c r="H4" s="23" t="s">
        <v>86</v>
      </c>
      <c r="I4" s="23" t="s">
        <v>87</v>
      </c>
      <c r="J4" s="23" t="s">
        <v>88</v>
      </c>
      <c r="K4" s="23" t="s">
        <v>89</v>
      </c>
      <c r="L4" s="23" t="s">
        <v>90</v>
      </c>
      <c r="M4" s="23" t="s">
        <v>91</v>
      </c>
      <c r="N4" s="23" t="s">
        <v>92</v>
      </c>
      <c r="O4" s="23" t="s">
        <v>93</v>
      </c>
      <c r="P4" s="23" t="s">
        <v>94</v>
      </c>
      <c r="Q4" s="23" t="s">
        <v>95</v>
      </c>
      <c r="R4" s="23" t="s">
        <v>96</v>
      </c>
      <c r="S4" s="23" t="s">
        <v>97</v>
      </c>
      <c r="T4" s="12" t="s">
        <v>98</v>
      </c>
      <c r="U4" s="12" t="s">
        <v>99</v>
      </c>
    </row>
    <row r="5" customFormat="false" ht="30" hidden="false" customHeight="true" outlineLevel="0" collapsed="false">
      <c r="A5" s="25" t="s">
        <v>100</v>
      </c>
      <c r="B5" s="25" t="s">
        <v>101</v>
      </c>
      <c r="C5" s="26" t="s">
        <v>102</v>
      </c>
      <c r="D5" s="17" t="s">
        <v>103</v>
      </c>
      <c r="E5" s="33" t="n">
        <f aca="false">01_기준전제!B15</f>
        <v>0.06</v>
      </c>
      <c r="F5" s="34" t="n">
        <f aca="false">E5*0.85</f>
        <v>0.051</v>
      </c>
      <c r="G5" s="16" t="s">
        <v>104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4" t="str">
        <f aca="false">IFERROR(AVERAGE(H5:S5),"")</f>
        <v/>
      </c>
      <c r="U5" s="34" t="str">
        <f aca="false">IFERROR(IF(T5="","",F5/T5),"")</f>
        <v/>
      </c>
    </row>
    <row r="6" customFormat="false" ht="30" hidden="false" customHeight="true" outlineLevel="0" collapsed="false">
      <c r="A6" s="25" t="s">
        <v>105</v>
      </c>
      <c r="B6" s="25" t="s">
        <v>101</v>
      </c>
      <c r="C6" s="13" t="s">
        <v>106</v>
      </c>
      <c r="D6" s="17" t="s">
        <v>107</v>
      </c>
      <c r="E6" s="35" t="n">
        <f aca="false">05_LOSS효율시뮬!J9</f>
        <v>1773.9648</v>
      </c>
      <c r="F6" s="36" t="n">
        <f aca="false">E6*0.85</f>
        <v>1507.87008</v>
      </c>
      <c r="G6" s="16" t="s">
        <v>104</v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36" t="str">
        <f aca="false">IFERROR(AVERAGE(H6:S6),"")</f>
        <v/>
      </c>
      <c r="U6" s="34" t="str">
        <f aca="false">IFERROR(IF(T6="","",F6/T6),"")</f>
        <v/>
      </c>
    </row>
    <row r="7" customFormat="false" ht="30" hidden="false" customHeight="true" outlineLevel="0" collapsed="false">
      <c r="A7" s="25" t="s">
        <v>108</v>
      </c>
      <c r="B7" s="25" t="s">
        <v>101</v>
      </c>
      <c r="C7" s="13" t="s">
        <v>109</v>
      </c>
      <c r="D7" s="16" t="s">
        <v>110</v>
      </c>
      <c r="E7" s="33" t="n">
        <f aca="false">01_기준전제!B16</f>
        <v>0.52</v>
      </c>
      <c r="F7" s="34" t="n">
        <v>0.52</v>
      </c>
      <c r="G7" s="16" t="s">
        <v>111</v>
      </c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34" t="str">
        <f aca="false">IFERROR(AVERAGE(H7:S7),"")</f>
        <v/>
      </c>
      <c r="U7" s="34" t="str">
        <f aca="false">IFERROR(IF(T7="","",T7/F7),"")</f>
        <v/>
      </c>
    </row>
    <row r="8" customFormat="false" ht="30" hidden="false" customHeight="true" outlineLevel="0" collapsed="false">
      <c r="A8" s="25" t="s">
        <v>112</v>
      </c>
      <c r="B8" s="25" t="s">
        <v>101</v>
      </c>
      <c r="C8" s="13" t="s">
        <v>113</v>
      </c>
      <c r="D8" s="16" t="s">
        <v>114</v>
      </c>
      <c r="E8" s="33" t="n">
        <f aca="false">01_기준전제!B17</f>
        <v>0.88</v>
      </c>
      <c r="F8" s="34" t="n">
        <f aca="false">E8+0.02</f>
        <v>0.9</v>
      </c>
      <c r="G8" s="16" t="s">
        <v>115</v>
      </c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34" t="str">
        <f aca="false">IFERROR(AVERAGE(H8:S8),"")</f>
        <v/>
      </c>
      <c r="U8" s="34" t="str">
        <f aca="false">IFERROR(IF(T8="","",T8/F8),"")</f>
        <v/>
      </c>
    </row>
    <row r="9" customFormat="false" ht="30" hidden="false" customHeight="true" outlineLevel="0" collapsed="false">
      <c r="A9" s="25" t="s">
        <v>116</v>
      </c>
      <c r="B9" s="25" t="s">
        <v>117</v>
      </c>
      <c r="C9" s="13" t="s">
        <v>118</v>
      </c>
      <c r="D9" s="16" t="s">
        <v>119</v>
      </c>
      <c r="E9" s="33" t="n">
        <f aca="false">01_기준전제!B19</f>
        <v>0.038</v>
      </c>
      <c r="F9" s="34" t="n">
        <v>0.03</v>
      </c>
      <c r="G9" s="17" t="s">
        <v>120</v>
      </c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34" t="str">
        <f aca="false">IFERROR(AVERAGE(H9:S9),"")</f>
        <v/>
      </c>
      <c r="U9" s="34" t="str">
        <f aca="false">IFERROR(IF(T9="","",F9/T9),"")</f>
        <v/>
      </c>
    </row>
    <row r="10" customFormat="false" ht="30" hidden="false" customHeight="true" outlineLevel="0" collapsed="false">
      <c r="A10" s="25" t="s">
        <v>121</v>
      </c>
      <c r="B10" s="25" t="s">
        <v>117</v>
      </c>
      <c r="C10" s="13" t="s">
        <v>122</v>
      </c>
      <c r="D10" s="16" t="s">
        <v>123</v>
      </c>
      <c r="E10" s="33" t="n">
        <f aca="false">01_기준전제!B20</f>
        <v>0.042</v>
      </c>
      <c r="F10" s="34" t="n">
        <v>0.035</v>
      </c>
      <c r="G10" s="17" t="s">
        <v>124</v>
      </c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34" t="str">
        <f aca="false">IFERROR(AVERAGE(H10:S10),"")</f>
        <v/>
      </c>
      <c r="U10" s="34" t="str">
        <f aca="false">IFERROR(IF(T10="","",F10/T10),"")</f>
        <v/>
      </c>
    </row>
    <row r="11" customFormat="false" ht="30" hidden="false" customHeight="true" outlineLevel="0" collapsed="false">
      <c r="A11" s="25" t="s">
        <v>125</v>
      </c>
      <c r="B11" s="25" t="s">
        <v>117</v>
      </c>
      <c r="C11" s="13" t="s">
        <v>126</v>
      </c>
      <c r="D11" s="17" t="s">
        <v>127</v>
      </c>
      <c r="E11" s="33" t="n">
        <f aca="false">01_기준전제!B21</f>
        <v>0.45</v>
      </c>
      <c r="F11" s="34" t="n">
        <v>0.6</v>
      </c>
      <c r="G11" s="17" t="s">
        <v>128</v>
      </c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34" t="str">
        <f aca="false">IFERROR(AVERAGE(H11:S11),"")</f>
        <v/>
      </c>
      <c r="U11" s="34" t="str">
        <f aca="false">IFERROR(IF(T11="","",T11/F11),"")</f>
        <v/>
      </c>
    </row>
    <row r="12" customFormat="false" ht="30" hidden="false" customHeight="true" outlineLevel="0" collapsed="false">
      <c r="A12" s="25" t="s">
        <v>129</v>
      </c>
      <c r="B12" s="25" t="s">
        <v>130</v>
      </c>
      <c r="C12" s="13" t="s">
        <v>131</v>
      </c>
      <c r="D12" s="16" t="s">
        <v>132</v>
      </c>
      <c r="E12" s="37" t="s">
        <v>37</v>
      </c>
      <c r="F12" s="36" t="n">
        <v>0</v>
      </c>
      <c r="G12" s="17" t="s">
        <v>133</v>
      </c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36" t="str">
        <f aca="false">IF(COUNT(H12:S12)=0,"",SUM(H12:S12))</f>
        <v/>
      </c>
      <c r="U12" s="34" t="str">
        <f aca="false">IF(T12="","",IF(T12=0,1,0))</f>
        <v/>
      </c>
    </row>
    <row r="13" customFormat="false" ht="30" hidden="false" customHeight="true" outlineLevel="0" collapsed="false">
      <c r="A13" s="25" t="s">
        <v>134</v>
      </c>
      <c r="B13" s="25" t="s">
        <v>130</v>
      </c>
      <c r="C13" s="13" t="s">
        <v>135</v>
      </c>
      <c r="D13" s="16" t="s">
        <v>132</v>
      </c>
      <c r="E13" s="35" t="n">
        <f aca="false">01_기준전제!B22</f>
        <v>3</v>
      </c>
      <c r="F13" s="36" t="n">
        <f aca="false">E13*0.7</f>
        <v>2.1</v>
      </c>
      <c r="G13" s="16" t="s">
        <v>136</v>
      </c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36" t="str">
        <f aca="false">IF(COUNT(H13:S13)=0,"",SUM(H13:S13))</f>
        <v/>
      </c>
      <c r="U13" s="34" t="str">
        <f aca="false">IFERROR(IF(T13="","",F13/T13),"")</f>
        <v/>
      </c>
    </row>
    <row r="14" customFormat="false" ht="30" hidden="false" customHeight="true" outlineLevel="0" collapsed="false">
      <c r="A14" s="25" t="s">
        <v>137</v>
      </c>
      <c r="B14" s="25" t="s">
        <v>130</v>
      </c>
      <c r="C14" s="13" t="s">
        <v>138</v>
      </c>
      <c r="D14" s="16" t="s">
        <v>139</v>
      </c>
      <c r="E14" s="35" t="n">
        <f aca="false">01_기준전제!B23</f>
        <v>10</v>
      </c>
      <c r="F14" s="36" t="n">
        <f aca="false">E14*0.7</f>
        <v>7</v>
      </c>
      <c r="G14" s="16" t="s">
        <v>136</v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36" t="str">
        <f aca="false">IF(COUNT(H14:S14)=0,"",SUM(H14:S14))</f>
        <v/>
      </c>
      <c r="U14" s="34" t="str">
        <f aca="false">IFERROR(IF(T14="","",F14/T14),"")</f>
        <v/>
      </c>
    </row>
    <row r="15" customFormat="false" ht="30" hidden="false" customHeight="true" outlineLevel="0" collapsed="false">
      <c r="A15" s="25" t="s">
        <v>140</v>
      </c>
      <c r="B15" s="25" t="s">
        <v>141</v>
      </c>
      <c r="C15" s="13" t="s">
        <v>142</v>
      </c>
      <c r="D15" s="16" t="s">
        <v>143</v>
      </c>
      <c r="E15" s="35" t="n">
        <f aca="false">01_기준전제!B24</f>
        <v>5</v>
      </c>
      <c r="F15" s="36" t="n">
        <v>3</v>
      </c>
      <c r="G15" s="17" t="s">
        <v>144</v>
      </c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36" t="str">
        <f aca="false">IFERROR(AVERAGE(H15:S15),"")</f>
        <v/>
      </c>
      <c r="U15" s="34" t="str">
        <f aca="false">IFERROR(IF(T15="","",F15/T15),"")</f>
        <v/>
      </c>
    </row>
    <row r="16" customFormat="false" ht="30" hidden="false" customHeight="true" outlineLevel="0" collapsed="false">
      <c r="A16" s="25" t="s">
        <v>145</v>
      </c>
      <c r="B16" s="25" t="s">
        <v>146</v>
      </c>
      <c r="C16" s="13" t="s">
        <v>147</v>
      </c>
      <c r="D16" s="16" t="s">
        <v>148</v>
      </c>
      <c r="E16" s="37" t="s">
        <v>37</v>
      </c>
      <c r="F16" s="34" t="n">
        <v>0.95</v>
      </c>
      <c r="G16" s="17" t="s">
        <v>149</v>
      </c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34" t="str">
        <f aca="false">IFERROR(AVERAGE(H16:S16),"")</f>
        <v/>
      </c>
      <c r="U16" s="34" t="str">
        <f aca="false">IFERROR(IF(T16="","",T16/F16),"")</f>
        <v/>
      </c>
    </row>
    <row r="18" customFormat="false" ht="27.75" hidden="false" customHeight="true" outlineLevel="0" collapsed="false">
      <c r="A18" s="38" t="s">
        <v>150</v>
      </c>
      <c r="C18" s="39" t="s">
        <v>151</v>
      </c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</row>
  </sheetData>
  <mergeCells count="3">
    <mergeCell ref="A1:U1"/>
    <mergeCell ref="A2:U2"/>
    <mergeCell ref="C18:U18"/>
  </mergeCells>
  <conditionalFormatting sqref="U5:U16">
    <cfRule type="cellIs" priority="2" operator="greaterThanOrEqual" aboveAverage="0" equalAverage="0" bottom="0" percent="0" rank="0" text="" dxfId="0">
      <formula>1</formula>
    </cfRule>
    <cfRule type="cellIs" priority="3" operator="lessThan" aboveAverage="0" equalAverage="0" bottom="0" percent="0" rank="0" text="" dxfId="1">
      <formula>0.9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16"/>
    <col collapsed="false" customWidth="true" hidden="false" outlineLevel="0" max="4" min="4" style="0" width="74"/>
    <col collapsed="false" customWidth="true" hidden="false" outlineLevel="0" max="6" min="5" style="0" width="12"/>
  </cols>
  <sheetData>
    <row r="1" customFormat="false" ht="24" hidden="false" customHeight="true" outlineLevel="0" collapsed="false">
      <c r="A1" s="9" t="s">
        <v>152</v>
      </c>
      <c r="B1" s="9"/>
      <c r="C1" s="9"/>
      <c r="D1" s="9"/>
      <c r="E1" s="9"/>
      <c r="F1" s="9"/>
      <c r="G1" s="9"/>
    </row>
    <row r="2" customFormat="false" ht="13.4" hidden="false" customHeight="false" outlineLevel="0" collapsed="false">
      <c r="A2" s="10" t="s">
        <v>153</v>
      </c>
      <c r="B2" s="10"/>
      <c r="C2" s="10"/>
      <c r="D2" s="10"/>
      <c r="E2" s="10"/>
      <c r="F2" s="10"/>
      <c r="G2" s="10"/>
    </row>
    <row r="4" customFormat="false" ht="30" hidden="false" customHeight="true" outlineLevel="0" collapsed="false">
      <c r="A4" s="12" t="s">
        <v>154</v>
      </c>
      <c r="B4" s="12" t="s">
        <v>81</v>
      </c>
      <c r="C4" s="12" t="s">
        <v>155</v>
      </c>
      <c r="D4" s="12" t="s">
        <v>156</v>
      </c>
      <c r="E4" s="12" t="s">
        <v>157</v>
      </c>
      <c r="F4" s="12" t="s">
        <v>158</v>
      </c>
    </row>
    <row r="5" customFormat="false" ht="19.5" hidden="false" customHeight="true" outlineLevel="0" collapsed="false">
      <c r="A5" s="40" t="s">
        <v>159</v>
      </c>
      <c r="B5" s="41" t="s">
        <v>101</v>
      </c>
      <c r="C5" s="42" t="s">
        <v>160</v>
      </c>
      <c r="D5" s="6" t="s">
        <v>161</v>
      </c>
      <c r="E5" s="25" t="s">
        <v>162</v>
      </c>
      <c r="F5" s="43" t="s">
        <v>163</v>
      </c>
    </row>
    <row r="6" customFormat="false" ht="19.5" hidden="false" customHeight="true" outlineLevel="0" collapsed="false">
      <c r="A6" s="40"/>
      <c r="B6" s="44" t="s">
        <v>117</v>
      </c>
      <c r="C6" s="42" t="s">
        <v>164</v>
      </c>
      <c r="D6" s="5" t="s">
        <v>165</v>
      </c>
      <c r="E6" s="25"/>
      <c r="F6" s="25"/>
    </row>
    <row r="7" customFormat="false" ht="19.5" hidden="false" customHeight="true" outlineLevel="0" collapsed="false">
      <c r="A7" s="40"/>
      <c r="B7" s="45" t="s">
        <v>130</v>
      </c>
      <c r="C7" s="42" t="s">
        <v>166</v>
      </c>
      <c r="D7" s="5" t="s">
        <v>167</v>
      </c>
      <c r="E7" s="25"/>
      <c r="F7" s="25"/>
    </row>
    <row r="8" customFormat="false" ht="19.5" hidden="false" customHeight="true" outlineLevel="0" collapsed="false">
      <c r="A8" s="40"/>
      <c r="B8" s="46" t="s">
        <v>141</v>
      </c>
      <c r="C8" s="42" t="s">
        <v>168</v>
      </c>
      <c r="D8" s="6" t="s">
        <v>169</v>
      </c>
      <c r="E8" s="25"/>
      <c r="F8" s="25"/>
    </row>
    <row r="9" customFormat="false" ht="19.5" hidden="false" customHeight="true" outlineLevel="0" collapsed="false">
      <c r="A9" s="40"/>
      <c r="B9" s="47" t="s">
        <v>146</v>
      </c>
      <c r="C9" s="42" t="s">
        <v>170</v>
      </c>
      <c r="D9" s="5" t="s">
        <v>171</v>
      </c>
      <c r="E9" s="25"/>
      <c r="F9" s="25"/>
    </row>
    <row r="10" customFormat="false" ht="19.5" hidden="false" customHeight="true" outlineLevel="0" collapsed="false">
      <c r="A10" s="48" t="s">
        <v>172</v>
      </c>
      <c r="B10" s="49" t="s">
        <v>101</v>
      </c>
      <c r="C10" s="50" t="s">
        <v>160</v>
      </c>
      <c r="D10" s="51" t="s">
        <v>173</v>
      </c>
      <c r="E10" s="52" t="s">
        <v>162</v>
      </c>
      <c r="F10" s="53" t="s">
        <v>174</v>
      </c>
    </row>
    <row r="11" customFormat="false" ht="19.5" hidden="false" customHeight="true" outlineLevel="0" collapsed="false">
      <c r="A11" s="48"/>
      <c r="B11" s="54" t="s">
        <v>117</v>
      </c>
      <c r="C11" s="50" t="s">
        <v>164</v>
      </c>
      <c r="D11" s="55" t="s">
        <v>175</v>
      </c>
      <c r="E11" s="52"/>
      <c r="F11" s="52"/>
    </row>
    <row r="12" customFormat="false" ht="19.5" hidden="false" customHeight="true" outlineLevel="0" collapsed="false">
      <c r="A12" s="48"/>
      <c r="B12" s="56" t="s">
        <v>130</v>
      </c>
      <c r="C12" s="50" t="s">
        <v>166</v>
      </c>
      <c r="D12" s="51" t="s">
        <v>176</v>
      </c>
      <c r="E12" s="52"/>
      <c r="F12" s="52"/>
    </row>
    <row r="13" customFormat="false" ht="19.5" hidden="false" customHeight="true" outlineLevel="0" collapsed="false">
      <c r="A13" s="48"/>
      <c r="B13" s="57" t="s">
        <v>141</v>
      </c>
      <c r="C13" s="50" t="s">
        <v>168</v>
      </c>
      <c r="D13" s="51" t="s">
        <v>177</v>
      </c>
      <c r="E13" s="52"/>
      <c r="F13" s="52"/>
    </row>
    <row r="14" customFormat="false" ht="19.5" hidden="false" customHeight="true" outlineLevel="0" collapsed="false">
      <c r="A14" s="48"/>
      <c r="B14" s="58" t="s">
        <v>146</v>
      </c>
      <c r="C14" s="50" t="s">
        <v>170</v>
      </c>
      <c r="D14" s="55" t="s">
        <v>178</v>
      </c>
      <c r="E14" s="52"/>
      <c r="F14" s="52"/>
    </row>
    <row r="15" customFormat="false" ht="19.5" hidden="false" customHeight="true" outlineLevel="0" collapsed="false">
      <c r="A15" s="40" t="s">
        <v>179</v>
      </c>
      <c r="B15" s="41" t="s">
        <v>101</v>
      </c>
      <c r="C15" s="42" t="s">
        <v>160</v>
      </c>
      <c r="D15" s="5" t="s">
        <v>180</v>
      </c>
      <c r="E15" s="25" t="s">
        <v>162</v>
      </c>
      <c r="F15" s="59" t="s">
        <v>181</v>
      </c>
    </row>
    <row r="16" customFormat="false" ht="19.5" hidden="false" customHeight="true" outlineLevel="0" collapsed="false">
      <c r="A16" s="40"/>
      <c r="B16" s="44" t="s">
        <v>117</v>
      </c>
      <c r="C16" s="42" t="s">
        <v>164</v>
      </c>
      <c r="D16" s="6" t="s">
        <v>182</v>
      </c>
      <c r="E16" s="25"/>
      <c r="F16" s="25"/>
    </row>
    <row r="17" customFormat="false" ht="19.5" hidden="false" customHeight="true" outlineLevel="0" collapsed="false">
      <c r="A17" s="40"/>
      <c r="B17" s="45" t="s">
        <v>130</v>
      </c>
      <c r="C17" s="42" t="s">
        <v>166</v>
      </c>
      <c r="D17" s="5" t="s">
        <v>183</v>
      </c>
      <c r="E17" s="25"/>
      <c r="F17" s="25"/>
    </row>
    <row r="18" customFormat="false" ht="19.5" hidden="false" customHeight="true" outlineLevel="0" collapsed="false">
      <c r="A18" s="40"/>
      <c r="B18" s="46" t="s">
        <v>141</v>
      </c>
      <c r="C18" s="42" t="s">
        <v>168</v>
      </c>
      <c r="D18" s="6" t="s">
        <v>184</v>
      </c>
      <c r="E18" s="25"/>
      <c r="F18" s="25"/>
    </row>
    <row r="19" customFormat="false" ht="19.5" hidden="false" customHeight="true" outlineLevel="0" collapsed="false">
      <c r="A19" s="40"/>
      <c r="B19" s="47" t="s">
        <v>146</v>
      </c>
      <c r="C19" s="42" t="s">
        <v>170</v>
      </c>
      <c r="D19" s="5" t="s">
        <v>185</v>
      </c>
      <c r="E19" s="25"/>
      <c r="F19" s="25"/>
    </row>
    <row r="20" customFormat="false" ht="19.5" hidden="false" customHeight="true" outlineLevel="0" collapsed="false">
      <c r="A20" s="48" t="s">
        <v>186</v>
      </c>
      <c r="B20" s="49" t="s">
        <v>101</v>
      </c>
      <c r="C20" s="50" t="s">
        <v>160</v>
      </c>
      <c r="D20" s="55" t="s">
        <v>187</v>
      </c>
      <c r="E20" s="52" t="s">
        <v>188</v>
      </c>
      <c r="F20" s="53" t="s">
        <v>189</v>
      </c>
    </row>
    <row r="21" customFormat="false" ht="19.5" hidden="false" customHeight="true" outlineLevel="0" collapsed="false">
      <c r="A21" s="48"/>
      <c r="B21" s="54" t="s">
        <v>117</v>
      </c>
      <c r="C21" s="50" t="s">
        <v>164</v>
      </c>
      <c r="D21" s="55" t="s">
        <v>190</v>
      </c>
      <c r="E21" s="52"/>
      <c r="F21" s="52"/>
    </row>
    <row r="22" customFormat="false" ht="19.5" hidden="false" customHeight="true" outlineLevel="0" collapsed="false">
      <c r="A22" s="48"/>
      <c r="B22" s="56" t="s">
        <v>130</v>
      </c>
      <c r="C22" s="50" t="s">
        <v>166</v>
      </c>
      <c r="D22" s="55" t="s">
        <v>191</v>
      </c>
      <c r="E22" s="52"/>
      <c r="F22" s="52"/>
    </row>
    <row r="23" customFormat="false" ht="19.5" hidden="false" customHeight="true" outlineLevel="0" collapsed="false">
      <c r="A23" s="48"/>
      <c r="B23" s="57" t="s">
        <v>141</v>
      </c>
      <c r="C23" s="50" t="s">
        <v>168</v>
      </c>
      <c r="D23" s="51" t="s">
        <v>192</v>
      </c>
      <c r="E23" s="52"/>
      <c r="F23" s="52"/>
    </row>
    <row r="24" customFormat="false" ht="19.5" hidden="false" customHeight="true" outlineLevel="0" collapsed="false">
      <c r="A24" s="48"/>
      <c r="B24" s="58" t="s">
        <v>146</v>
      </c>
      <c r="C24" s="50" t="s">
        <v>170</v>
      </c>
      <c r="D24" s="55" t="s">
        <v>193</v>
      </c>
      <c r="E24" s="52"/>
      <c r="F24" s="52"/>
    </row>
    <row r="25" customFormat="false" ht="19.5" hidden="false" customHeight="true" outlineLevel="0" collapsed="false">
      <c r="A25" s="40" t="s">
        <v>194</v>
      </c>
      <c r="B25" s="41" t="s">
        <v>101</v>
      </c>
      <c r="C25" s="42" t="s">
        <v>160</v>
      </c>
      <c r="D25" s="5" t="s">
        <v>195</v>
      </c>
      <c r="E25" s="25" t="s">
        <v>188</v>
      </c>
      <c r="F25" s="43" t="s">
        <v>196</v>
      </c>
    </row>
    <row r="26" customFormat="false" ht="19.5" hidden="false" customHeight="true" outlineLevel="0" collapsed="false">
      <c r="A26" s="40"/>
      <c r="B26" s="44" t="s">
        <v>117</v>
      </c>
      <c r="C26" s="42" t="s">
        <v>164</v>
      </c>
      <c r="D26" s="5" t="s">
        <v>197</v>
      </c>
      <c r="E26" s="25"/>
      <c r="F26" s="25"/>
    </row>
    <row r="27" customFormat="false" ht="19.5" hidden="false" customHeight="true" outlineLevel="0" collapsed="false">
      <c r="A27" s="40"/>
      <c r="B27" s="45" t="s">
        <v>130</v>
      </c>
      <c r="C27" s="42" t="s">
        <v>166</v>
      </c>
      <c r="D27" s="5" t="s">
        <v>198</v>
      </c>
      <c r="E27" s="25"/>
      <c r="F27" s="25"/>
    </row>
    <row r="28" customFormat="false" ht="19.5" hidden="false" customHeight="true" outlineLevel="0" collapsed="false">
      <c r="A28" s="40"/>
      <c r="B28" s="46" t="s">
        <v>141</v>
      </c>
      <c r="C28" s="42" t="s">
        <v>168</v>
      </c>
      <c r="D28" s="6" t="s">
        <v>199</v>
      </c>
      <c r="E28" s="25"/>
      <c r="F28" s="25"/>
    </row>
    <row r="29" customFormat="false" ht="19.5" hidden="false" customHeight="true" outlineLevel="0" collapsed="false">
      <c r="A29" s="40"/>
      <c r="B29" s="47" t="s">
        <v>146</v>
      </c>
      <c r="C29" s="42" t="s">
        <v>170</v>
      </c>
      <c r="D29" s="5" t="s">
        <v>200</v>
      </c>
      <c r="E29" s="25"/>
      <c r="F29" s="25"/>
    </row>
    <row r="30" customFormat="false" ht="19.5" hidden="false" customHeight="true" outlineLevel="0" collapsed="false">
      <c r="A30" s="48" t="s">
        <v>201</v>
      </c>
      <c r="B30" s="49" t="s">
        <v>101</v>
      </c>
      <c r="C30" s="50" t="s">
        <v>160</v>
      </c>
      <c r="D30" s="55" t="s">
        <v>202</v>
      </c>
      <c r="E30" s="52" t="s">
        <v>188</v>
      </c>
      <c r="F30" s="53" t="s">
        <v>203</v>
      </c>
    </row>
    <row r="31" customFormat="false" ht="19.5" hidden="false" customHeight="true" outlineLevel="0" collapsed="false">
      <c r="A31" s="48"/>
      <c r="B31" s="54" t="s">
        <v>117</v>
      </c>
      <c r="C31" s="50" t="s">
        <v>164</v>
      </c>
      <c r="D31" s="55" t="s">
        <v>204</v>
      </c>
      <c r="E31" s="52"/>
      <c r="F31" s="52"/>
    </row>
    <row r="32" customFormat="false" ht="19.5" hidden="false" customHeight="true" outlineLevel="0" collapsed="false">
      <c r="A32" s="48"/>
      <c r="B32" s="56" t="s">
        <v>130</v>
      </c>
      <c r="C32" s="50" t="s">
        <v>166</v>
      </c>
      <c r="D32" s="51" t="s">
        <v>205</v>
      </c>
      <c r="E32" s="52"/>
      <c r="F32" s="52"/>
    </row>
    <row r="33" customFormat="false" ht="19.5" hidden="false" customHeight="true" outlineLevel="0" collapsed="false">
      <c r="A33" s="48"/>
      <c r="B33" s="57" t="s">
        <v>141</v>
      </c>
      <c r="C33" s="50" t="s">
        <v>168</v>
      </c>
      <c r="D33" s="55" t="s">
        <v>206</v>
      </c>
      <c r="E33" s="52"/>
      <c r="F33" s="52"/>
    </row>
    <row r="34" customFormat="false" ht="19.5" hidden="false" customHeight="true" outlineLevel="0" collapsed="false">
      <c r="A34" s="48"/>
      <c r="B34" s="58" t="s">
        <v>146</v>
      </c>
      <c r="C34" s="50" t="s">
        <v>170</v>
      </c>
      <c r="D34" s="55" t="s">
        <v>207</v>
      </c>
      <c r="E34" s="52"/>
      <c r="F34" s="52"/>
    </row>
    <row r="35" customFormat="false" ht="19.5" hidden="false" customHeight="true" outlineLevel="0" collapsed="false">
      <c r="A35" s="40" t="s">
        <v>208</v>
      </c>
      <c r="B35" s="41" t="s">
        <v>101</v>
      </c>
      <c r="C35" s="42" t="s">
        <v>160</v>
      </c>
      <c r="D35" s="5" t="s">
        <v>209</v>
      </c>
      <c r="E35" s="25" t="s">
        <v>210</v>
      </c>
      <c r="F35" s="43" t="s">
        <v>211</v>
      </c>
    </row>
    <row r="36" customFormat="false" ht="19.5" hidden="false" customHeight="true" outlineLevel="0" collapsed="false">
      <c r="A36" s="40"/>
      <c r="B36" s="44" t="s">
        <v>117</v>
      </c>
      <c r="C36" s="42" t="s">
        <v>164</v>
      </c>
      <c r="D36" s="5" t="s">
        <v>212</v>
      </c>
      <c r="E36" s="25"/>
      <c r="F36" s="25"/>
    </row>
    <row r="37" customFormat="false" ht="19.5" hidden="false" customHeight="true" outlineLevel="0" collapsed="false">
      <c r="A37" s="40"/>
      <c r="B37" s="45" t="s">
        <v>130</v>
      </c>
      <c r="C37" s="42" t="s">
        <v>166</v>
      </c>
      <c r="D37" s="5" t="s">
        <v>213</v>
      </c>
      <c r="E37" s="25"/>
      <c r="F37" s="25"/>
    </row>
    <row r="38" customFormat="false" ht="19.5" hidden="false" customHeight="true" outlineLevel="0" collapsed="false">
      <c r="A38" s="40"/>
      <c r="B38" s="46" t="s">
        <v>141</v>
      </c>
      <c r="C38" s="42" t="s">
        <v>168</v>
      </c>
      <c r="D38" s="6" t="s">
        <v>214</v>
      </c>
      <c r="E38" s="25"/>
      <c r="F38" s="25"/>
    </row>
    <row r="39" customFormat="false" ht="19.5" hidden="false" customHeight="true" outlineLevel="0" collapsed="false">
      <c r="A39" s="40"/>
      <c r="B39" s="47" t="s">
        <v>146</v>
      </c>
      <c r="C39" s="42" t="s">
        <v>170</v>
      </c>
      <c r="D39" s="5" t="s">
        <v>215</v>
      </c>
      <c r="E39" s="25"/>
      <c r="F39" s="25"/>
    </row>
    <row r="40" customFormat="false" ht="19.5" hidden="false" customHeight="true" outlineLevel="0" collapsed="false">
      <c r="A40" s="48" t="s">
        <v>216</v>
      </c>
      <c r="B40" s="49" t="s">
        <v>101</v>
      </c>
      <c r="C40" s="50" t="s">
        <v>160</v>
      </c>
      <c r="D40" s="55" t="s">
        <v>217</v>
      </c>
      <c r="E40" s="52" t="s">
        <v>210</v>
      </c>
      <c r="F40" s="53" t="s">
        <v>218</v>
      </c>
    </row>
    <row r="41" customFormat="false" ht="19.5" hidden="false" customHeight="true" outlineLevel="0" collapsed="false">
      <c r="A41" s="48"/>
      <c r="B41" s="54" t="s">
        <v>117</v>
      </c>
      <c r="C41" s="50" t="s">
        <v>164</v>
      </c>
      <c r="D41" s="55" t="s">
        <v>219</v>
      </c>
      <c r="E41" s="52"/>
      <c r="F41" s="52"/>
    </row>
    <row r="42" customFormat="false" ht="19.5" hidden="false" customHeight="true" outlineLevel="0" collapsed="false">
      <c r="A42" s="48"/>
      <c r="B42" s="56" t="s">
        <v>130</v>
      </c>
      <c r="C42" s="50" t="s">
        <v>166</v>
      </c>
      <c r="D42" s="51" t="s">
        <v>220</v>
      </c>
      <c r="E42" s="52"/>
      <c r="F42" s="52"/>
    </row>
    <row r="43" customFormat="false" ht="19.5" hidden="false" customHeight="true" outlineLevel="0" collapsed="false">
      <c r="A43" s="48"/>
      <c r="B43" s="57" t="s">
        <v>141</v>
      </c>
      <c r="C43" s="50" t="s">
        <v>168</v>
      </c>
      <c r="D43" s="51" t="s">
        <v>221</v>
      </c>
      <c r="E43" s="52"/>
      <c r="F43" s="52"/>
    </row>
    <row r="44" customFormat="false" ht="19.5" hidden="false" customHeight="true" outlineLevel="0" collapsed="false">
      <c r="A44" s="48"/>
      <c r="B44" s="58" t="s">
        <v>146</v>
      </c>
      <c r="C44" s="50" t="s">
        <v>170</v>
      </c>
      <c r="D44" s="51" t="s">
        <v>222</v>
      </c>
      <c r="E44" s="52"/>
      <c r="F44" s="52"/>
    </row>
    <row r="45" customFormat="false" ht="19.5" hidden="false" customHeight="true" outlineLevel="0" collapsed="false">
      <c r="A45" s="40" t="s">
        <v>223</v>
      </c>
      <c r="B45" s="41" t="s">
        <v>101</v>
      </c>
      <c r="C45" s="42" t="s">
        <v>160</v>
      </c>
      <c r="D45" s="6" t="s">
        <v>224</v>
      </c>
      <c r="E45" s="25" t="s">
        <v>210</v>
      </c>
      <c r="F45" s="43" t="s">
        <v>225</v>
      </c>
    </row>
    <row r="46" customFormat="false" ht="19.5" hidden="false" customHeight="true" outlineLevel="0" collapsed="false">
      <c r="A46" s="40"/>
      <c r="B46" s="44" t="s">
        <v>117</v>
      </c>
      <c r="C46" s="42" t="s">
        <v>164</v>
      </c>
      <c r="D46" s="5" t="s">
        <v>226</v>
      </c>
      <c r="E46" s="25"/>
      <c r="F46" s="25"/>
    </row>
    <row r="47" customFormat="false" ht="19.5" hidden="false" customHeight="true" outlineLevel="0" collapsed="false">
      <c r="A47" s="40"/>
      <c r="B47" s="45" t="s">
        <v>130</v>
      </c>
      <c r="C47" s="42" t="s">
        <v>166</v>
      </c>
      <c r="D47" s="5" t="s">
        <v>227</v>
      </c>
      <c r="E47" s="25"/>
      <c r="F47" s="25"/>
    </row>
    <row r="48" customFormat="false" ht="19.5" hidden="false" customHeight="true" outlineLevel="0" collapsed="false">
      <c r="A48" s="40"/>
      <c r="B48" s="46" t="s">
        <v>141</v>
      </c>
      <c r="C48" s="42" t="s">
        <v>168</v>
      </c>
      <c r="D48" s="6" t="s">
        <v>228</v>
      </c>
      <c r="E48" s="25"/>
      <c r="F48" s="25"/>
    </row>
    <row r="49" customFormat="false" ht="19.5" hidden="false" customHeight="true" outlineLevel="0" collapsed="false">
      <c r="A49" s="40"/>
      <c r="B49" s="47" t="s">
        <v>146</v>
      </c>
      <c r="C49" s="42" t="s">
        <v>170</v>
      </c>
      <c r="D49" s="5" t="s">
        <v>229</v>
      </c>
      <c r="E49" s="25"/>
      <c r="F49" s="25"/>
    </row>
    <row r="50" customFormat="false" ht="19.5" hidden="false" customHeight="true" outlineLevel="0" collapsed="false">
      <c r="A50" s="48" t="s">
        <v>230</v>
      </c>
      <c r="B50" s="49" t="s">
        <v>101</v>
      </c>
      <c r="C50" s="50" t="s">
        <v>160</v>
      </c>
      <c r="D50" s="51" t="s">
        <v>231</v>
      </c>
      <c r="E50" s="52" t="s">
        <v>232</v>
      </c>
      <c r="F50" s="53" t="s">
        <v>233</v>
      </c>
    </row>
    <row r="51" customFormat="false" ht="19.5" hidden="false" customHeight="true" outlineLevel="0" collapsed="false">
      <c r="A51" s="48"/>
      <c r="B51" s="54" t="s">
        <v>117</v>
      </c>
      <c r="C51" s="50" t="s">
        <v>164</v>
      </c>
      <c r="D51" s="55" t="s">
        <v>234</v>
      </c>
      <c r="E51" s="52"/>
      <c r="F51" s="52"/>
    </row>
    <row r="52" customFormat="false" ht="19.5" hidden="false" customHeight="true" outlineLevel="0" collapsed="false">
      <c r="A52" s="48"/>
      <c r="B52" s="56" t="s">
        <v>130</v>
      </c>
      <c r="C52" s="50" t="s">
        <v>166</v>
      </c>
      <c r="D52" s="55" t="s">
        <v>235</v>
      </c>
      <c r="E52" s="52"/>
      <c r="F52" s="52"/>
    </row>
    <row r="53" customFormat="false" ht="19.5" hidden="false" customHeight="true" outlineLevel="0" collapsed="false">
      <c r="A53" s="48"/>
      <c r="B53" s="57" t="s">
        <v>141</v>
      </c>
      <c r="C53" s="50" t="s">
        <v>168</v>
      </c>
      <c r="D53" s="51" t="s">
        <v>236</v>
      </c>
      <c r="E53" s="52"/>
      <c r="F53" s="52"/>
    </row>
    <row r="54" customFormat="false" ht="19.5" hidden="false" customHeight="true" outlineLevel="0" collapsed="false">
      <c r="A54" s="48"/>
      <c r="B54" s="58" t="s">
        <v>146</v>
      </c>
      <c r="C54" s="50" t="s">
        <v>170</v>
      </c>
      <c r="D54" s="55" t="s">
        <v>237</v>
      </c>
      <c r="E54" s="52"/>
      <c r="F54" s="52"/>
    </row>
    <row r="55" customFormat="false" ht="19.5" hidden="false" customHeight="true" outlineLevel="0" collapsed="false">
      <c r="A55" s="40" t="s">
        <v>238</v>
      </c>
      <c r="B55" s="41" t="s">
        <v>101</v>
      </c>
      <c r="C55" s="42" t="s">
        <v>160</v>
      </c>
      <c r="D55" s="5" t="s">
        <v>239</v>
      </c>
      <c r="E55" s="25" t="s">
        <v>232</v>
      </c>
      <c r="F55" s="59" t="s">
        <v>240</v>
      </c>
    </row>
    <row r="56" customFormat="false" ht="19.5" hidden="false" customHeight="true" outlineLevel="0" collapsed="false">
      <c r="A56" s="40"/>
      <c r="B56" s="44" t="s">
        <v>117</v>
      </c>
      <c r="C56" s="42" t="s">
        <v>164</v>
      </c>
      <c r="D56" s="5" t="s">
        <v>241</v>
      </c>
      <c r="E56" s="25"/>
      <c r="F56" s="25"/>
    </row>
    <row r="57" customFormat="false" ht="19.5" hidden="false" customHeight="true" outlineLevel="0" collapsed="false">
      <c r="A57" s="40"/>
      <c r="B57" s="45" t="s">
        <v>130</v>
      </c>
      <c r="C57" s="42" t="s">
        <v>166</v>
      </c>
      <c r="D57" s="6" t="s">
        <v>242</v>
      </c>
      <c r="E57" s="25"/>
      <c r="F57" s="25"/>
    </row>
    <row r="58" customFormat="false" ht="19.5" hidden="false" customHeight="true" outlineLevel="0" collapsed="false">
      <c r="A58" s="40"/>
      <c r="B58" s="46" t="s">
        <v>141</v>
      </c>
      <c r="C58" s="42" t="s">
        <v>168</v>
      </c>
      <c r="D58" s="6" t="s">
        <v>243</v>
      </c>
      <c r="E58" s="25"/>
      <c r="F58" s="25"/>
    </row>
    <row r="59" customFormat="false" ht="19.5" hidden="false" customHeight="true" outlineLevel="0" collapsed="false">
      <c r="A59" s="40"/>
      <c r="B59" s="47" t="s">
        <v>146</v>
      </c>
      <c r="C59" s="42" t="s">
        <v>170</v>
      </c>
      <c r="D59" s="5" t="s">
        <v>244</v>
      </c>
      <c r="E59" s="25"/>
      <c r="F59" s="25"/>
    </row>
    <row r="60" customFormat="false" ht="19.5" hidden="false" customHeight="true" outlineLevel="0" collapsed="false">
      <c r="A60" s="48" t="s">
        <v>245</v>
      </c>
      <c r="B60" s="49" t="s">
        <v>101</v>
      </c>
      <c r="C60" s="50" t="s">
        <v>160</v>
      </c>
      <c r="D60" s="51" t="s">
        <v>246</v>
      </c>
      <c r="E60" s="52" t="s">
        <v>232</v>
      </c>
      <c r="F60" s="53" t="s">
        <v>247</v>
      </c>
    </row>
    <row r="61" customFormat="false" ht="19.5" hidden="false" customHeight="true" outlineLevel="0" collapsed="false">
      <c r="A61" s="48"/>
      <c r="B61" s="54" t="s">
        <v>117</v>
      </c>
      <c r="C61" s="50" t="s">
        <v>164</v>
      </c>
      <c r="D61" s="55" t="s">
        <v>248</v>
      </c>
      <c r="E61" s="52"/>
      <c r="F61" s="52"/>
    </row>
    <row r="62" customFormat="false" ht="19.5" hidden="false" customHeight="true" outlineLevel="0" collapsed="false">
      <c r="A62" s="48"/>
      <c r="B62" s="56" t="s">
        <v>130</v>
      </c>
      <c r="C62" s="50" t="s">
        <v>166</v>
      </c>
      <c r="D62" s="55" t="s">
        <v>249</v>
      </c>
      <c r="E62" s="52"/>
      <c r="F62" s="52"/>
    </row>
    <row r="63" customFormat="false" ht="19.5" hidden="false" customHeight="true" outlineLevel="0" collapsed="false">
      <c r="A63" s="48"/>
      <c r="B63" s="57" t="s">
        <v>141</v>
      </c>
      <c r="C63" s="50" t="s">
        <v>168</v>
      </c>
      <c r="D63" s="55" t="s">
        <v>250</v>
      </c>
      <c r="E63" s="52"/>
      <c r="F63" s="52"/>
    </row>
    <row r="64" customFormat="false" ht="19.5" hidden="false" customHeight="true" outlineLevel="0" collapsed="false">
      <c r="A64" s="48"/>
      <c r="B64" s="58" t="s">
        <v>146</v>
      </c>
      <c r="C64" s="50" t="s">
        <v>170</v>
      </c>
      <c r="D64" s="51" t="s">
        <v>251</v>
      </c>
      <c r="E64" s="52"/>
      <c r="F64" s="52"/>
    </row>
  </sheetData>
  <mergeCells count="38">
    <mergeCell ref="A1:G1"/>
    <mergeCell ref="A2:G2"/>
    <mergeCell ref="A5:A9"/>
    <mergeCell ref="E5:E9"/>
    <mergeCell ref="F5:F9"/>
    <mergeCell ref="A10:A14"/>
    <mergeCell ref="E10:E14"/>
    <mergeCell ref="F10:F14"/>
    <mergeCell ref="A15:A19"/>
    <mergeCell ref="E15:E19"/>
    <mergeCell ref="F15:F19"/>
    <mergeCell ref="A20:A24"/>
    <mergeCell ref="E20:E24"/>
    <mergeCell ref="F20:F24"/>
    <mergeCell ref="A25:A29"/>
    <mergeCell ref="E25:E29"/>
    <mergeCell ref="F25:F29"/>
    <mergeCell ref="A30:A34"/>
    <mergeCell ref="E30:E34"/>
    <mergeCell ref="F30:F34"/>
    <mergeCell ref="A35:A39"/>
    <mergeCell ref="E35:E39"/>
    <mergeCell ref="F35:F39"/>
    <mergeCell ref="A40:A44"/>
    <mergeCell ref="E40:E44"/>
    <mergeCell ref="F40:F44"/>
    <mergeCell ref="A45:A49"/>
    <mergeCell ref="E45:E49"/>
    <mergeCell ref="F45:F49"/>
    <mergeCell ref="A50:A54"/>
    <mergeCell ref="E50:E54"/>
    <mergeCell ref="F50:F54"/>
    <mergeCell ref="A55:A59"/>
    <mergeCell ref="E55:E59"/>
    <mergeCell ref="F55:F59"/>
    <mergeCell ref="A60:A64"/>
    <mergeCell ref="E60:E64"/>
    <mergeCell ref="F60:F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8" ySplit="4" topLeftCell="I5" activePane="bottomRight" state="frozen"/>
      <selection pane="topLeft" activeCell="A1" activeCellId="0" sqref="A1"/>
      <selection pane="topRight" activeCell="I1" activeCellId="0" sqref="I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"/>
    <col collapsed="false" customWidth="true" hidden="false" outlineLevel="0" max="3" min="3" style="0" width="32"/>
    <col collapsed="false" customWidth="true" hidden="false" outlineLevel="0" max="4" min="4" style="0" width="30"/>
    <col collapsed="false" customWidth="true" hidden="false" outlineLevel="0" max="5" min="5" style="0" width="32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20" min="9" style="0" width="4.5"/>
    <col collapsed="false" customWidth="true" hidden="false" outlineLevel="0" max="21" min="21" style="0" width="10"/>
  </cols>
  <sheetData>
    <row r="1" customFormat="false" ht="24" hidden="false" customHeight="true" outlineLevel="0" collapsed="false">
      <c r="A1" s="9" t="s">
        <v>252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customFormat="false" ht="13.4" hidden="false" customHeight="false" outlineLevel="0" collapsed="false">
      <c r="A2" s="10" t="s">
        <v>253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</row>
    <row r="4" customFormat="false" ht="30" hidden="false" customHeight="true" outlineLevel="0" collapsed="false">
      <c r="A4" s="23" t="s">
        <v>80</v>
      </c>
      <c r="B4" s="12" t="s">
        <v>81</v>
      </c>
      <c r="C4" s="12" t="s">
        <v>254</v>
      </c>
      <c r="D4" s="12" t="s">
        <v>255</v>
      </c>
      <c r="E4" s="12" t="s">
        <v>256</v>
      </c>
      <c r="F4" s="12" t="s">
        <v>257</v>
      </c>
      <c r="G4" s="12" t="s">
        <v>258</v>
      </c>
      <c r="H4" s="12" t="s">
        <v>259</v>
      </c>
      <c r="I4" s="23" t="s">
        <v>260</v>
      </c>
      <c r="J4" s="23" t="s">
        <v>261</v>
      </c>
      <c r="K4" s="23" t="s">
        <v>262</v>
      </c>
      <c r="L4" s="23" t="s">
        <v>263</v>
      </c>
      <c r="M4" s="23" t="s">
        <v>264</v>
      </c>
      <c r="N4" s="23" t="s">
        <v>265</v>
      </c>
      <c r="O4" s="23" t="s">
        <v>266</v>
      </c>
      <c r="P4" s="23" t="s">
        <v>267</v>
      </c>
      <c r="Q4" s="23" t="s">
        <v>268</v>
      </c>
      <c r="R4" s="23" t="s">
        <v>269</v>
      </c>
      <c r="S4" s="23" t="s">
        <v>270</v>
      </c>
      <c r="T4" s="23" t="s">
        <v>271</v>
      </c>
      <c r="U4" s="12" t="s">
        <v>272</v>
      </c>
    </row>
    <row r="5" customFormat="false" ht="31.5" hidden="false" customHeight="true" outlineLevel="0" collapsed="false">
      <c r="A5" s="60" t="s">
        <v>273</v>
      </c>
      <c r="B5" s="41" t="s">
        <v>101</v>
      </c>
      <c r="C5" s="6" t="s">
        <v>274</v>
      </c>
      <c r="D5" s="61" t="s">
        <v>275</v>
      </c>
      <c r="E5" s="17" t="s">
        <v>276</v>
      </c>
      <c r="F5" s="62" t="s">
        <v>277</v>
      </c>
      <c r="G5" s="63" t="s">
        <v>278</v>
      </c>
      <c r="H5" s="64" t="s">
        <v>279</v>
      </c>
      <c r="I5" s="65"/>
      <c r="J5" s="65"/>
      <c r="K5" s="65"/>
      <c r="L5" s="28"/>
      <c r="M5" s="28"/>
      <c r="N5" s="28"/>
      <c r="O5" s="28"/>
      <c r="P5" s="28"/>
      <c r="Q5" s="28"/>
      <c r="R5" s="28"/>
      <c r="S5" s="28"/>
      <c r="T5" s="28"/>
      <c r="U5" s="66"/>
    </row>
    <row r="6" customFormat="false" ht="31.5" hidden="false" customHeight="true" outlineLevel="0" collapsed="false">
      <c r="A6" s="60" t="s">
        <v>280</v>
      </c>
      <c r="B6" s="41" t="s">
        <v>101</v>
      </c>
      <c r="C6" s="5" t="s">
        <v>281</v>
      </c>
      <c r="D6" s="61" t="s">
        <v>282</v>
      </c>
      <c r="E6" s="17" t="s">
        <v>283</v>
      </c>
      <c r="F6" s="62" t="s">
        <v>277</v>
      </c>
      <c r="G6" s="63" t="s">
        <v>284</v>
      </c>
      <c r="H6" s="64" t="s">
        <v>285</v>
      </c>
      <c r="I6" s="28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6"/>
    </row>
    <row r="7" customFormat="false" ht="31.5" hidden="false" customHeight="true" outlineLevel="0" collapsed="false">
      <c r="A7" s="60" t="s">
        <v>286</v>
      </c>
      <c r="B7" s="41" t="s">
        <v>101</v>
      </c>
      <c r="C7" s="5" t="s">
        <v>287</v>
      </c>
      <c r="D7" s="61" t="s">
        <v>288</v>
      </c>
      <c r="E7" s="16" t="s">
        <v>289</v>
      </c>
      <c r="F7" s="67" t="s">
        <v>290</v>
      </c>
      <c r="G7" s="63" t="s">
        <v>278</v>
      </c>
      <c r="H7" s="64" t="s">
        <v>291</v>
      </c>
      <c r="I7" s="28"/>
      <c r="J7" s="28"/>
      <c r="K7" s="28"/>
      <c r="L7" s="65"/>
      <c r="M7" s="65"/>
      <c r="N7" s="65"/>
      <c r="O7" s="65"/>
      <c r="P7" s="65"/>
      <c r="Q7" s="65"/>
      <c r="R7" s="65"/>
      <c r="S7" s="65"/>
      <c r="T7" s="65"/>
      <c r="U7" s="66"/>
    </row>
    <row r="8" customFormat="false" ht="31.5" hidden="false" customHeight="true" outlineLevel="0" collapsed="false">
      <c r="A8" s="60" t="s">
        <v>292</v>
      </c>
      <c r="B8" s="44" t="s">
        <v>117</v>
      </c>
      <c r="C8" s="5" t="s">
        <v>293</v>
      </c>
      <c r="D8" s="61" t="s">
        <v>294</v>
      </c>
      <c r="E8" s="16" t="s">
        <v>295</v>
      </c>
      <c r="F8" s="67" t="s">
        <v>290</v>
      </c>
      <c r="G8" s="63" t="s">
        <v>296</v>
      </c>
      <c r="H8" s="64" t="s">
        <v>297</v>
      </c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6"/>
    </row>
    <row r="9" customFormat="false" ht="31.5" hidden="false" customHeight="true" outlineLevel="0" collapsed="false">
      <c r="A9" s="60" t="s">
        <v>298</v>
      </c>
      <c r="B9" s="44" t="s">
        <v>117</v>
      </c>
      <c r="C9" s="5" t="s">
        <v>299</v>
      </c>
      <c r="D9" s="61" t="s">
        <v>300</v>
      </c>
      <c r="E9" s="16" t="s">
        <v>301</v>
      </c>
      <c r="F9" s="62" t="s">
        <v>277</v>
      </c>
      <c r="G9" s="63" t="s">
        <v>302</v>
      </c>
      <c r="H9" s="64" t="s">
        <v>303</v>
      </c>
      <c r="I9" s="68"/>
      <c r="J9" s="68"/>
      <c r="K9" s="68"/>
      <c r="L9" s="68"/>
      <c r="M9" s="68"/>
      <c r="N9" s="68"/>
      <c r="O9" s="68"/>
      <c r="P9" s="68"/>
      <c r="Q9" s="68"/>
      <c r="R9" s="28"/>
      <c r="S9" s="28"/>
      <c r="T9" s="28"/>
      <c r="U9" s="66"/>
    </row>
    <row r="10" customFormat="false" ht="31.5" hidden="false" customHeight="true" outlineLevel="0" collapsed="false">
      <c r="A10" s="60" t="s">
        <v>304</v>
      </c>
      <c r="B10" s="44" t="s">
        <v>117</v>
      </c>
      <c r="C10" s="5" t="s">
        <v>305</v>
      </c>
      <c r="D10" s="61" t="s">
        <v>306</v>
      </c>
      <c r="E10" s="16" t="s">
        <v>307</v>
      </c>
      <c r="F10" s="62" t="s">
        <v>277</v>
      </c>
      <c r="G10" s="63" t="s">
        <v>308</v>
      </c>
      <c r="H10" s="64" t="s">
        <v>297</v>
      </c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6"/>
    </row>
    <row r="11" customFormat="false" ht="31.5" hidden="false" customHeight="true" outlineLevel="0" collapsed="false">
      <c r="A11" s="60" t="s">
        <v>309</v>
      </c>
      <c r="B11" s="45" t="s">
        <v>130</v>
      </c>
      <c r="C11" s="5" t="s">
        <v>310</v>
      </c>
      <c r="D11" s="61" t="s">
        <v>311</v>
      </c>
      <c r="E11" s="16" t="s">
        <v>312</v>
      </c>
      <c r="F11" s="62" t="s">
        <v>277</v>
      </c>
      <c r="G11" s="63" t="s">
        <v>313</v>
      </c>
      <c r="H11" s="64" t="s">
        <v>297</v>
      </c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6"/>
    </row>
    <row r="12" customFormat="false" ht="31.5" hidden="false" customHeight="true" outlineLevel="0" collapsed="false">
      <c r="A12" s="60" t="s">
        <v>314</v>
      </c>
      <c r="B12" s="45" t="s">
        <v>130</v>
      </c>
      <c r="C12" s="5" t="s">
        <v>315</v>
      </c>
      <c r="D12" s="61" t="s">
        <v>316</v>
      </c>
      <c r="E12" s="16" t="s">
        <v>317</v>
      </c>
      <c r="F12" s="70" t="s">
        <v>318</v>
      </c>
      <c r="G12" s="63" t="s">
        <v>313</v>
      </c>
      <c r="H12" s="64" t="s">
        <v>319</v>
      </c>
      <c r="I12" s="28"/>
      <c r="J12" s="28"/>
      <c r="K12" s="28"/>
      <c r="L12" s="69"/>
      <c r="M12" s="69"/>
      <c r="N12" s="69"/>
      <c r="O12" s="69"/>
      <c r="P12" s="69"/>
      <c r="Q12" s="69"/>
      <c r="R12" s="28"/>
      <c r="S12" s="28"/>
      <c r="T12" s="28"/>
      <c r="U12" s="66"/>
    </row>
    <row r="13" customFormat="false" ht="31.5" hidden="false" customHeight="true" outlineLevel="0" collapsed="false">
      <c r="A13" s="60" t="s">
        <v>320</v>
      </c>
      <c r="B13" s="45" t="s">
        <v>130</v>
      </c>
      <c r="C13" s="5" t="s">
        <v>321</v>
      </c>
      <c r="D13" s="61" t="s">
        <v>322</v>
      </c>
      <c r="E13" s="16" t="s">
        <v>323</v>
      </c>
      <c r="F13" s="67" t="s">
        <v>290</v>
      </c>
      <c r="G13" s="63" t="s">
        <v>308</v>
      </c>
      <c r="H13" s="64" t="s">
        <v>324</v>
      </c>
      <c r="I13" s="28"/>
      <c r="J13" s="28"/>
      <c r="K13" s="28"/>
      <c r="L13" s="28"/>
      <c r="M13" s="69"/>
      <c r="N13" s="28"/>
      <c r="O13" s="28"/>
      <c r="P13" s="28"/>
      <c r="Q13" s="28"/>
      <c r="R13" s="69"/>
      <c r="S13" s="28"/>
      <c r="T13" s="28"/>
      <c r="U13" s="66"/>
    </row>
    <row r="14" customFormat="false" ht="31.5" hidden="false" customHeight="true" outlineLevel="0" collapsed="false">
      <c r="A14" s="60" t="s">
        <v>325</v>
      </c>
      <c r="B14" s="45" t="s">
        <v>130</v>
      </c>
      <c r="C14" s="5" t="s">
        <v>326</v>
      </c>
      <c r="D14" s="61" t="s">
        <v>327</v>
      </c>
      <c r="E14" s="16" t="s">
        <v>328</v>
      </c>
      <c r="F14" s="62" t="s">
        <v>277</v>
      </c>
      <c r="G14" s="63" t="s">
        <v>329</v>
      </c>
      <c r="H14" s="64" t="s">
        <v>285</v>
      </c>
      <c r="I14" s="28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6"/>
    </row>
    <row r="15" customFormat="false" ht="31.5" hidden="false" customHeight="true" outlineLevel="0" collapsed="false">
      <c r="A15" s="60" t="s">
        <v>330</v>
      </c>
      <c r="B15" s="46" t="s">
        <v>141</v>
      </c>
      <c r="C15" s="5" t="s">
        <v>331</v>
      </c>
      <c r="D15" s="61" t="s">
        <v>332</v>
      </c>
      <c r="E15" s="16" t="s">
        <v>333</v>
      </c>
      <c r="F15" s="62" t="s">
        <v>277</v>
      </c>
      <c r="G15" s="63" t="s">
        <v>334</v>
      </c>
      <c r="H15" s="64" t="s">
        <v>335</v>
      </c>
      <c r="I15" s="71"/>
      <c r="J15" s="71"/>
      <c r="K15" s="71"/>
      <c r="L15" s="71"/>
      <c r="M15" s="28"/>
      <c r="N15" s="28"/>
      <c r="O15" s="28"/>
      <c r="P15" s="28"/>
      <c r="Q15" s="28"/>
      <c r="R15" s="28"/>
      <c r="S15" s="28"/>
      <c r="T15" s="28"/>
      <c r="U15" s="66"/>
    </row>
    <row r="16" customFormat="false" ht="31.5" hidden="false" customHeight="true" outlineLevel="0" collapsed="false">
      <c r="A16" s="60" t="s">
        <v>336</v>
      </c>
      <c r="B16" s="46" t="s">
        <v>141</v>
      </c>
      <c r="C16" s="6" t="s">
        <v>337</v>
      </c>
      <c r="D16" s="72" t="s">
        <v>338</v>
      </c>
      <c r="E16" s="17" t="s">
        <v>339</v>
      </c>
      <c r="F16" s="67" t="s">
        <v>290</v>
      </c>
      <c r="G16" s="63" t="s">
        <v>308</v>
      </c>
      <c r="H16" s="64" t="s">
        <v>340</v>
      </c>
      <c r="I16" s="28"/>
      <c r="J16" s="28"/>
      <c r="K16" s="28"/>
      <c r="L16" s="28"/>
      <c r="M16" s="28"/>
      <c r="N16" s="28"/>
      <c r="O16" s="28"/>
      <c r="P16" s="71"/>
      <c r="Q16" s="71"/>
      <c r="R16" s="71"/>
      <c r="S16" s="71"/>
      <c r="T16" s="28"/>
      <c r="U16" s="66"/>
    </row>
    <row r="17" customFormat="false" ht="31.5" hidden="false" customHeight="true" outlineLevel="0" collapsed="false">
      <c r="A17" s="60" t="s">
        <v>341</v>
      </c>
      <c r="B17" s="46" t="s">
        <v>141</v>
      </c>
      <c r="C17" s="5" t="s">
        <v>342</v>
      </c>
      <c r="D17" s="61" t="s">
        <v>343</v>
      </c>
      <c r="E17" s="16" t="s">
        <v>344</v>
      </c>
      <c r="F17" s="70" t="s">
        <v>318</v>
      </c>
      <c r="G17" s="63" t="s">
        <v>334</v>
      </c>
      <c r="H17" s="64" t="s">
        <v>345</v>
      </c>
      <c r="I17" s="71"/>
      <c r="J17" s="71"/>
      <c r="K17" s="71"/>
      <c r="L17" s="71"/>
      <c r="M17" s="71"/>
      <c r="N17" s="71"/>
      <c r="O17" s="28"/>
      <c r="P17" s="28"/>
      <c r="Q17" s="28"/>
      <c r="R17" s="28"/>
      <c r="S17" s="28"/>
      <c r="T17" s="28"/>
      <c r="U17" s="66"/>
    </row>
    <row r="18" customFormat="false" ht="31.5" hidden="false" customHeight="true" outlineLevel="0" collapsed="false">
      <c r="A18" s="60" t="s">
        <v>346</v>
      </c>
      <c r="B18" s="47" t="s">
        <v>146</v>
      </c>
      <c r="C18" s="6" t="s">
        <v>347</v>
      </c>
      <c r="D18" s="61" t="s">
        <v>348</v>
      </c>
      <c r="E18" s="16" t="s">
        <v>349</v>
      </c>
      <c r="F18" s="62" t="s">
        <v>277</v>
      </c>
      <c r="G18" s="63" t="s">
        <v>308</v>
      </c>
      <c r="H18" s="64" t="s">
        <v>297</v>
      </c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66"/>
    </row>
    <row r="19" customFormat="false" ht="31.5" hidden="false" customHeight="true" outlineLevel="0" collapsed="false">
      <c r="A19" s="60" t="s">
        <v>350</v>
      </c>
      <c r="B19" s="47" t="s">
        <v>146</v>
      </c>
      <c r="C19" s="5" t="s">
        <v>351</v>
      </c>
      <c r="D19" s="61" t="s">
        <v>352</v>
      </c>
      <c r="E19" s="16" t="s">
        <v>353</v>
      </c>
      <c r="F19" s="70" t="s">
        <v>318</v>
      </c>
      <c r="G19" s="63" t="s">
        <v>308</v>
      </c>
      <c r="H19" s="64" t="s">
        <v>279</v>
      </c>
      <c r="I19" s="73"/>
      <c r="J19" s="73"/>
      <c r="K19" s="73"/>
      <c r="L19" s="28"/>
      <c r="M19" s="28"/>
      <c r="N19" s="28"/>
      <c r="O19" s="28"/>
      <c r="P19" s="28"/>
      <c r="Q19" s="28"/>
      <c r="R19" s="28"/>
      <c r="S19" s="28"/>
      <c r="T19" s="28"/>
      <c r="U19" s="66"/>
    </row>
    <row r="20" customFormat="false" ht="15" hidden="false" customHeight="false" outlineLevel="0" collapsed="false">
      <c r="A20" s="19"/>
      <c r="B20" s="19"/>
      <c r="C20" s="18" t="s">
        <v>354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74" t="n">
        <f aca="false">IFERROR(AVERAGE(U5:U19),0)</f>
        <v>0</v>
      </c>
    </row>
    <row r="22" customFormat="false" ht="15" hidden="false" customHeight="true" outlineLevel="0" collapsed="false">
      <c r="A22" s="38" t="s">
        <v>355</v>
      </c>
      <c r="C22" s="75" t="s">
        <v>356</v>
      </c>
      <c r="D22" s="75"/>
      <c r="E22" s="75"/>
      <c r="F22" s="75"/>
      <c r="G22" s="75"/>
      <c r="H22" s="75"/>
    </row>
  </sheetData>
  <mergeCells count="3">
    <mergeCell ref="A1:V1"/>
    <mergeCell ref="A2:V2"/>
    <mergeCell ref="C22:H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40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9"/>
    <col collapsed="false" customWidth="true" hidden="false" outlineLevel="0" max="10" min="8" style="0" width="12"/>
    <col collapsed="false" customWidth="true" hidden="false" outlineLevel="0" max="11" min="11" style="0" width="15"/>
    <col collapsed="false" customWidth="true" hidden="false" outlineLevel="0" max="12" min="12" style="0" width="11"/>
    <col collapsed="false" customWidth="true" hidden="false" outlineLevel="0" max="13" min="13" style="0" width="14"/>
    <col collapsed="false" customWidth="true" hidden="false" outlineLevel="0" max="14" min="14" style="0" width="15"/>
  </cols>
  <sheetData>
    <row r="1" customFormat="false" ht="24" hidden="false" customHeight="true" outlineLevel="0" collapsed="false">
      <c r="A1" s="9" t="s">
        <v>357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customFormat="false" ht="13.4" hidden="false" customHeight="false" outlineLevel="0" collapsed="false">
      <c r="A2" s="76" t="s">
        <v>358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</row>
    <row r="3" customFormat="false" ht="15" hidden="false" customHeight="false" outlineLevel="0" collapsed="false">
      <c r="A3" s="11" t="s">
        <v>359</v>
      </c>
    </row>
    <row r="4" customFormat="false" ht="30" hidden="false" customHeight="true" outlineLevel="0" collapsed="false">
      <c r="A4" s="12" t="s">
        <v>360</v>
      </c>
      <c r="B4" s="12" t="s">
        <v>361</v>
      </c>
      <c r="C4" s="12" t="s">
        <v>362</v>
      </c>
      <c r="D4" s="12" t="s">
        <v>363</v>
      </c>
      <c r="E4" s="12" t="s">
        <v>364</v>
      </c>
      <c r="F4" s="12" t="s">
        <v>365</v>
      </c>
      <c r="G4" s="23" t="s">
        <v>366</v>
      </c>
      <c r="H4" s="12" t="s">
        <v>367</v>
      </c>
      <c r="I4" s="12" t="s">
        <v>368</v>
      </c>
      <c r="J4" s="12" t="s">
        <v>369</v>
      </c>
      <c r="K4" s="12" t="s">
        <v>370</v>
      </c>
      <c r="L4" s="12" t="s">
        <v>371</v>
      </c>
      <c r="M4" s="12" t="s">
        <v>372</v>
      </c>
      <c r="N4" s="12" t="s">
        <v>373</v>
      </c>
    </row>
    <row r="5" customFormat="false" ht="15" hidden="false" customHeight="false" outlineLevel="0" collapsed="false">
      <c r="A5" s="13" t="s">
        <v>374</v>
      </c>
      <c r="B5" s="35" t="n">
        <f aca="false">01_기준전제!C5</f>
        <v>153</v>
      </c>
      <c r="C5" s="35" t="n">
        <f aca="false">01_기준전제!$B$13</f>
        <v>174</v>
      </c>
      <c r="D5" s="15" t="n">
        <f aca="false">B5*C5</f>
        <v>26622</v>
      </c>
      <c r="E5" s="35" t="n">
        <f aca="false">01_기준전제!D5</f>
        <v>35121</v>
      </c>
      <c r="F5" s="15" t="n">
        <f aca="false">D5*E5</f>
        <v>934991262</v>
      </c>
      <c r="G5" s="33" t="n">
        <f aca="false">01_기준전제!$B$15</f>
        <v>0.06</v>
      </c>
      <c r="H5" s="15" t="n">
        <f aca="false">D5*G5</f>
        <v>1597.32</v>
      </c>
      <c r="I5" s="15" t="n">
        <f aca="false">H5*01_기준전제!$B$16</f>
        <v>830.6064</v>
      </c>
      <c r="J5" s="15" t="n">
        <f aca="false">H5-I5</f>
        <v>766.7136</v>
      </c>
      <c r="K5" s="15" t="n">
        <f aca="false">J5*E5</f>
        <v>26927748.3456</v>
      </c>
      <c r="L5" s="33" t="n">
        <f aca="false">01_기준전제!$B$27</f>
        <v>0.15</v>
      </c>
      <c r="M5" s="15" t="n">
        <f aca="false">K5*L5</f>
        <v>4039162.25184</v>
      </c>
      <c r="N5" s="36" t="n">
        <f aca="false">M5*01_기준전제!$B$14</f>
        <v>48469947.02208</v>
      </c>
    </row>
    <row r="6" customFormat="false" ht="15" hidden="false" customHeight="false" outlineLevel="0" collapsed="false">
      <c r="A6" s="13" t="s">
        <v>375</v>
      </c>
      <c r="B6" s="35" t="n">
        <f aca="false">01_기준전제!C6</f>
        <v>91</v>
      </c>
      <c r="C6" s="35" t="n">
        <f aca="false">01_기준전제!$B$13</f>
        <v>174</v>
      </c>
      <c r="D6" s="15" t="n">
        <f aca="false">B6*C6</f>
        <v>15834</v>
      </c>
      <c r="E6" s="35" t="n">
        <f aca="false">01_기준전제!D6</f>
        <v>35121</v>
      </c>
      <c r="F6" s="15" t="n">
        <f aca="false">D6*E6</f>
        <v>556105914</v>
      </c>
      <c r="G6" s="33" t="n">
        <f aca="false">01_기준전제!$B$15</f>
        <v>0.06</v>
      </c>
      <c r="H6" s="15" t="n">
        <f aca="false">D6*G6</f>
        <v>950.04</v>
      </c>
      <c r="I6" s="15" t="n">
        <f aca="false">H6*01_기준전제!$B$16</f>
        <v>494.0208</v>
      </c>
      <c r="J6" s="15" t="n">
        <f aca="false">H6-I6</f>
        <v>456.0192</v>
      </c>
      <c r="K6" s="15" t="n">
        <f aca="false">J6*E6</f>
        <v>16015850.3232</v>
      </c>
      <c r="L6" s="33" t="n">
        <f aca="false">01_기준전제!$B$27</f>
        <v>0.15</v>
      </c>
      <c r="M6" s="15" t="n">
        <f aca="false">K6*L6</f>
        <v>2402377.54848</v>
      </c>
      <c r="N6" s="36" t="n">
        <f aca="false">M6*01_기준전제!$B$14</f>
        <v>28828530.58176</v>
      </c>
    </row>
    <row r="7" customFormat="false" ht="15" hidden="false" customHeight="false" outlineLevel="0" collapsed="false">
      <c r="A7" s="13" t="s">
        <v>376</v>
      </c>
      <c r="B7" s="35" t="n">
        <f aca="false">01_기준전제!C7</f>
        <v>55</v>
      </c>
      <c r="C7" s="35" t="n">
        <f aca="false">01_기준전제!$B$13</f>
        <v>174</v>
      </c>
      <c r="D7" s="15" t="n">
        <f aca="false">B7*C7</f>
        <v>9570</v>
      </c>
      <c r="E7" s="35" t="n">
        <f aca="false">01_기준전제!D7</f>
        <v>0</v>
      </c>
      <c r="F7" s="15" t="n">
        <f aca="false">D7*E7</f>
        <v>0</v>
      </c>
      <c r="G7" s="33" t="n">
        <f aca="false">01_기준전제!$B$15</f>
        <v>0.06</v>
      </c>
      <c r="H7" s="15" t="n">
        <f aca="false">D7*G7</f>
        <v>574.2</v>
      </c>
      <c r="I7" s="15" t="n">
        <f aca="false">H7*01_기준전제!$B$16</f>
        <v>298.584</v>
      </c>
      <c r="J7" s="15" t="n">
        <f aca="false">H7-I7</f>
        <v>275.616</v>
      </c>
      <c r="K7" s="15" t="n">
        <f aca="false">J7*E7</f>
        <v>0</v>
      </c>
      <c r="L7" s="33" t="n">
        <f aca="false">01_기준전제!$B$27</f>
        <v>0.15</v>
      </c>
      <c r="M7" s="15" t="n">
        <f aca="false">K7*L7</f>
        <v>0</v>
      </c>
      <c r="N7" s="36" t="n">
        <f aca="false">M7*01_기준전제!$B$14</f>
        <v>0</v>
      </c>
    </row>
    <row r="8" customFormat="false" ht="15" hidden="false" customHeight="false" outlineLevel="0" collapsed="false">
      <c r="A8" s="13" t="s">
        <v>377</v>
      </c>
      <c r="B8" s="35" t="n">
        <f aca="false">01_기준전제!C8</f>
        <v>55</v>
      </c>
      <c r="C8" s="35" t="n">
        <f aca="false">01_기준전제!$B$13</f>
        <v>174</v>
      </c>
      <c r="D8" s="15" t="n">
        <f aca="false">B8*C8</f>
        <v>9570</v>
      </c>
      <c r="E8" s="35" t="n">
        <f aca="false">01_기준전제!D8</f>
        <v>0</v>
      </c>
      <c r="F8" s="15" t="n">
        <f aca="false">D8*E8</f>
        <v>0</v>
      </c>
      <c r="G8" s="33" t="n">
        <f aca="false">01_기준전제!$B$15</f>
        <v>0.06</v>
      </c>
      <c r="H8" s="15" t="n">
        <f aca="false">D8*G8</f>
        <v>574.2</v>
      </c>
      <c r="I8" s="15" t="n">
        <f aca="false">H8*01_기준전제!$B$16</f>
        <v>298.584</v>
      </c>
      <c r="J8" s="15" t="n">
        <f aca="false">H8-I8</f>
        <v>275.616</v>
      </c>
      <c r="K8" s="15" t="n">
        <f aca="false">J8*E8</f>
        <v>0</v>
      </c>
      <c r="L8" s="33" t="n">
        <f aca="false">01_기준전제!$B$27</f>
        <v>0.15</v>
      </c>
      <c r="M8" s="15" t="n">
        <f aca="false">K8*L8</f>
        <v>0</v>
      </c>
      <c r="N8" s="36" t="n">
        <f aca="false">M8*01_기준전제!$B$14</f>
        <v>0</v>
      </c>
    </row>
    <row r="9" customFormat="false" ht="15" hidden="false" customHeight="false" outlineLevel="0" collapsed="false">
      <c r="A9" s="18" t="s">
        <v>36</v>
      </c>
      <c r="B9" s="20" t="n">
        <f aca="false">SUM(B5:B8)</f>
        <v>354</v>
      </c>
      <c r="C9" s="21" t="s">
        <v>37</v>
      </c>
      <c r="D9" s="20" t="n">
        <f aca="false">SUM(D5:D8)</f>
        <v>61596</v>
      </c>
      <c r="E9" s="21" t="s">
        <v>37</v>
      </c>
      <c r="F9" s="20" t="n">
        <f aca="false">SUM(F5:F8)</f>
        <v>1491097176</v>
      </c>
      <c r="G9" s="21" t="s">
        <v>37</v>
      </c>
      <c r="H9" s="20" t="n">
        <f aca="false">SUM(H5:H8)</f>
        <v>3695.76</v>
      </c>
      <c r="I9" s="20" t="n">
        <f aca="false">SUM(I5:I8)</f>
        <v>1921.7952</v>
      </c>
      <c r="J9" s="20" t="n">
        <f aca="false">SUM(J5:J8)</f>
        <v>1773.9648</v>
      </c>
      <c r="K9" s="20" t="n">
        <f aca="false">SUM(K5:K8)</f>
        <v>42943598.6688</v>
      </c>
      <c r="L9" s="21" t="s">
        <v>37</v>
      </c>
      <c r="M9" s="20" t="n">
        <f aca="false">SUM(M5:M8)</f>
        <v>6441539.80032</v>
      </c>
      <c r="N9" s="20" t="n">
        <f aca="false">SUM(N5:N8)</f>
        <v>77298477.60384</v>
      </c>
    </row>
    <row r="10" customFormat="false" ht="15" hidden="false" customHeight="true" outlineLevel="0" collapsed="false">
      <c r="A10" s="77" t="s">
        <v>150</v>
      </c>
      <c r="B10" s="78" t="s">
        <v>378</v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</row>
    <row r="12" customFormat="false" ht="15" hidden="false" customHeight="false" outlineLevel="0" collapsed="false">
      <c r="A12" s="11" t="s">
        <v>379</v>
      </c>
    </row>
    <row r="13" customFormat="false" ht="30" hidden="false" customHeight="true" outlineLevel="0" collapsed="false">
      <c r="A13" s="12" t="s">
        <v>360</v>
      </c>
      <c r="B13" s="12" t="s">
        <v>363</v>
      </c>
      <c r="C13" s="12" t="s">
        <v>380</v>
      </c>
      <c r="D13" s="12" t="s">
        <v>113</v>
      </c>
      <c r="E13" s="23" t="s">
        <v>381</v>
      </c>
      <c r="F13" s="12" t="s">
        <v>382</v>
      </c>
      <c r="G13" s="12" t="s">
        <v>364</v>
      </c>
      <c r="H13" s="12" t="s">
        <v>383</v>
      </c>
      <c r="I13" s="12" t="s">
        <v>384</v>
      </c>
    </row>
    <row r="14" customFormat="false" ht="15" hidden="false" customHeight="false" outlineLevel="0" collapsed="false">
      <c r="A14" s="13" t="s">
        <v>374</v>
      </c>
      <c r="B14" s="15" t="n">
        <f aca="false">D5</f>
        <v>26622</v>
      </c>
      <c r="C14" s="33" t="n">
        <f aca="false">01_기준전제!$B$18</f>
        <v>0.9</v>
      </c>
      <c r="D14" s="33" t="n">
        <f aca="false">01_기준전제!$B$17</f>
        <v>0.88</v>
      </c>
      <c r="E14" s="79" t="n">
        <f aca="false">C14-D14</f>
        <v>0.02</v>
      </c>
      <c r="F14" s="15" t="n">
        <f aca="false">B14*E14</f>
        <v>532.440000000001</v>
      </c>
      <c r="G14" s="15" t="n">
        <f aca="false">E5</f>
        <v>35121</v>
      </c>
      <c r="H14" s="15" t="n">
        <f aca="false">F14*G14</f>
        <v>18699825.24</v>
      </c>
      <c r="I14" s="36" t="n">
        <f aca="false">H14*01_기준전제!$B$14</f>
        <v>224397902.88</v>
      </c>
    </row>
    <row r="15" customFormat="false" ht="15" hidden="false" customHeight="false" outlineLevel="0" collapsed="false">
      <c r="A15" s="13" t="s">
        <v>375</v>
      </c>
      <c r="B15" s="15" t="n">
        <f aca="false">D6</f>
        <v>15834</v>
      </c>
      <c r="C15" s="33" t="n">
        <f aca="false">01_기준전제!$B$18</f>
        <v>0.9</v>
      </c>
      <c r="D15" s="33" t="n">
        <f aca="false">01_기준전제!$B$17</f>
        <v>0.88</v>
      </c>
      <c r="E15" s="79" t="n">
        <f aca="false">C15-D15</f>
        <v>0.02</v>
      </c>
      <c r="F15" s="15" t="n">
        <f aca="false">B15*E15</f>
        <v>316.68</v>
      </c>
      <c r="G15" s="15" t="n">
        <f aca="false">E6</f>
        <v>35121</v>
      </c>
      <c r="H15" s="15" t="n">
        <f aca="false">F15*G15</f>
        <v>11122118.28</v>
      </c>
      <c r="I15" s="36" t="n">
        <f aca="false">H15*01_기준전제!$B$14</f>
        <v>133465419.36</v>
      </c>
    </row>
    <row r="16" customFormat="false" ht="15" hidden="false" customHeight="false" outlineLevel="0" collapsed="false">
      <c r="A16" s="13" t="s">
        <v>376</v>
      </c>
      <c r="B16" s="15" t="n">
        <f aca="false">D7</f>
        <v>9570</v>
      </c>
      <c r="C16" s="33" t="n">
        <f aca="false">01_기준전제!$B$18</f>
        <v>0.9</v>
      </c>
      <c r="D16" s="33" t="n">
        <f aca="false">01_기준전제!$B$17</f>
        <v>0.88</v>
      </c>
      <c r="E16" s="79" t="n">
        <f aca="false">C16-D16</f>
        <v>0.02</v>
      </c>
      <c r="F16" s="15" t="n">
        <f aca="false">B16*E16</f>
        <v>191.4</v>
      </c>
      <c r="G16" s="15" t="n">
        <f aca="false">E7</f>
        <v>0</v>
      </c>
      <c r="H16" s="15" t="n">
        <f aca="false">F16*G16</f>
        <v>0</v>
      </c>
      <c r="I16" s="36" t="n">
        <f aca="false">H16*01_기준전제!$B$14</f>
        <v>0</v>
      </c>
    </row>
    <row r="17" customFormat="false" ht="15" hidden="false" customHeight="false" outlineLevel="0" collapsed="false">
      <c r="A17" s="13" t="s">
        <v>377</v>
      </c>
      <c r="B17" s="15" t="n">
        <f aca="false">D8</f>
        <v>9570</v>
      </c>
      <c r="C17" s="33" t="n">
        <f aca="false">01_기준전제!$B$18</f>
        <v>0.9</v>
      </c>
      <c r="D17" s="33" t="n">
        <f aca="false">01_기준전제!$B$17</f>
        <v>0.88</v>
      </c>
      <c r="E17" s="79" t="n">
        <f aca="false">C17-D17</f>
        <v>0.02</v>
      </c>
      <c r="F17" s="15" t="n">
        <f aca="false">B17*E17</f>
        <v>191.4</v>
      </c>
      <c r="G17" s="15" t="n">
        <f aca="false">E8</f>
        <v>0</v>
      </c>
      <c r="H17" s="15" t="n">
        <f aca="false">F17*G17</f>
        <v>0</v>
      </c>
      <c r="I17" s="36" t="n">
        <f aca="false">H17*01_기준전제!$B$14</f>
        <v>0</v>
      </c>
    </row>
    <row r="18" customFormat="false" ht="15" hidden="false" customHeight="false" outlineLevel="0" collapsed="false">
      <c r="A18" s="18" t="s">
        <v>36</v>
      </c>
      <c r="B18" s="20" t="n">
        <f aca="false">SUM(B14:B17)</f>
        <v>61596</v>
      </c>
      <c r="C18" s="21" t="s">
        <v>37</v>
      </c>
      <c r="D18" s="21" t="s">
        <v>37</v>
      </c>
      <c r="E18" s="21" t="s">
        <v>37</v>
      </c>
      <c r="F18" s="20" t="n">
        <f aca="false">SUM(F14:F17)</f>
        <v>1231.92</v>
      </c>
      <c r="G18" s="21" t="s">
        <v>37</v>
      </c>
      <c r="H18" s="20" t="n">
        <f aca="false">SUM(H14:H17)</f>
        <v>29821943.52</v>
      </c>
      <c r="I18" s="20" t="n">
        <f aca="false">SUM(I14:I17)</f>
        <v>357863322.24</v>
      </c>
    </row>
    <row r="19" customFormat="false" ht="15" hidden="false" customHeight="true" outlineLevel="0" collapsed="false">
      <c r="A19" s="77" t="s">
        <v>150</v>
      </c>
      <c r="B19" s="75" t="s">
        <v>385</v>
      </c>
      <c r="C19" s="75"/>
      <c r="D19" s="75"/>
      <c r="E19" s="75"/>
      <c r="F19" s="75"/>
      <c r="G19" s="75"/>
      <c r="H19" s="75"/>
      <c r="I19" s="75"/>
    </row>
    <row r="21" customFormat="false" ht="15" hidden="false" customHeight="false" outlineLevel="0" collapsed="false">
      <c r="A21" s="11" t="s">
        <v>386</v>
      </c>
    </row>
    <row r="22" customFormat="false" ht="30" hidden="false" customHeight="true" outlineLevel="0" collapsed="false">
      <c r="A22" s="12" t="s">
        <v>387</v>
      </c>
      <c r="B22" s="12" t="s">
        <v>388</v>
      </c>
      <c r="C22" s="12" t="s">
        <v>389</v>
      </c>
      <c r="D22" s="12" t="s">
        <v>390</v>
      </c>
    </row>
    <row r="23" customFormat="false" ht="15" hidden="false" customHeight="false" outlineLevel="0" collapsed="false">
      <c r="A23" s="80" t="s">
        <v>391</v>
      </c>
      <c r="B23" s="29" t="n">
        <v>0.1</v>
      </c>
      <c r="C23" s="36" t="n">
        <f aca="false">$K$9*B23*01_기준전제!$B$14</f>
        <v>51532318.40256</v>
      </c>
      <c r="D23" s="81" t="s">
        <v>392</v>
      </c>
    </row>
    <row r="24" customFormat="false" ht="15" hidden="false" customHeight="false" outlineLevel="0" collapsed="false">
      <c r="A24" s="80" t="s">
        <v>393</v>
      </c>
      <c r="B24" s="29" t="n">
        <v>0.15</v>
      </c>
      <c r="C24" s="36" t="n">
        <f aca="false">$K$9*B24*01_기준전제!$B$14</f>
        <v>77298477.60384</v>
      </c>
      <c r="D24" s="81" t="s">
        <v>394</v>
      </c>
    </row>
    <row r="25" customFormat="false" ht="15" hidden="false" customHeight="false" outlineLevel="0" collapsed="false">
      <c r="A25" s="80" t="s">
        <v>395</v>
      </c>
      <c r="B25" s="29" t="n">
        <v>0.2</v>
      </c>
      <c r="C25" s="36" t="n">
        <f aca="false">$K$9*B25*01_기준전제!$B$14</f>
        <v>103064636.80512</v>
      </c>
      <c r="D25" s="82" t="s">
        <v>396</v>
      </c>
    </row>
  </sheetData>
  <mergeCells count="4">
    <mergeCell ref="A1:N1"/>
    <mergeCell ref="A2:N2"/>
    <mergeCell ref="B10:N10"/>
    <mergeCell ref="B19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0"/>
    <col collapsed="false" customWidth="true" hidden="false" outlineLevel="0" max="4" min="4" style="0" width="12"/>
    <col collapsed="false" customWidth="true" hidden="false" outlineLevel="0" max="16" min="5" style="0" width="8"/>
    <col collapsed="false" customWidth="true" hidden="false" outlineLevel="0" max="17" min="17" style="0" width="11"/>
  </cols>
  <sheetData>
    <row r="1" customFormat="false" ht="24" hidden="false" customHeight="true" outlineLevel="0" collapsed="false">
      <c r="A1" s="9" t="s">
        <v>397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customFormat="false" ht="13.4" hidden="false" customHeight="false" outlineLevel="0" collapsed="false">
      <c r="A2" s="10" t="s">
        <v>398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3" customFormat="false" ht="15" hidden="false" customHeight="false" outlineLevel="0" collapsed="false">
      <c r="A3" s="11" t="s">
        <v>399</v>
      </c>
    </row>
    <row r="4" customFormat="false" ht="30" hidden="false" customHeight="true" outlineLevel="0" collapsed="false">
      <c r="A4" s="12" t="s">
        <v>360</v>
      </c>
      <c r="B4" s="12" t="s">
        <v>400</v>
      </c>
      <c r="C4" s="12" t="s">
        <v>401</v>
      </c>
      <c r="D4" s="12" t="s">
        <v>390</v>
      </c>
    </row>
    <row r="5" customFormat="false" ht="15" hidden="false" customHeight="false" outlineLevel="0" collapsed="false">
      <c r="A5" s="13" t="s">
        <v>374</v>
      </c>
      <c r="B5" s="35" t="n">
        <f aca="false">01_기준전제!C5</f>
        <v>153</v>
      </c>
      <c r="C5" s="79" t="n">
        <f aca="false">IFERROR(B5/$B$9,0)</f>
        <v>0.432203389830509</v>
      </c>
      <c r="D5" s="82"/>
    </row>
    <row r="6" customFormat="false" ht="15" hidden="false" customHeight="false" outlineLevel="0" collapsed="false">
      <c r="A6" s="13" t="s">
        <v>375</v>
      </c>
      <c r="B6" s="35" t="n">
        <f aca="false">01_기준전제!C6</f>
        <v>91</v>
      </c>
      <c r="C6" s="79" t="n">
        <f aca="false">IFERROR(B6/$B$9,0)</f>
        <v>0.257062146892655</v>
      </c>
      <c r="D6" s="82"/>
    </row>
    <row r="7" customFormat="false" ht="15" hidden="false" customHeight="false" outlineLevel="0" collapsed="false">
      <c r="A7" s="13" t="s">
        <v>376</v>
      </c>
      <c r="B7" s="35" t="n">
        <f aca="false">01_기준전제!C7</f>
        <v>55</v>
      </c>
      <c r="C7" s="79" t="n">
        <f aca="false">IFERROR(B7/$B$9,0)</f>
        <v>0.155367231638418</v>
      </c>
      <c r="D7" s="82"/>
    </row>
    <row r="8" customFormat="false" ht="15" hidden="false" customHeight="false" outlineLevel="0" collapsed="false">
      <c r="A8" s="13" t="s">
        <v>377</v>
      </c>
      <c r="B8" s="35" t="n">
        <f aca="false">01_기준전제!C8</f>
        <v>55</v>
      </c>
      <c r="C8" s="79" t="n">
        <f aca="false">IFERROR(B8/$B$9,0)</f>
        <v>0.155367231638418</v>
      </c>
      <c r="D8" s="82" t="s">
        <v>402</v>
      </c>
    </row>
    <row r="9" customFormat="false" ht="15" hidden="false" customHeight="false" outlineLevel="0" collapsed="false">
      <c r="A9" s="18" t="s">
        <v>36</v>
      </c>
      <c r="B9" s="20" t="n">
        <f aca="false">SUM(B5:B8)</f>
        <v>354</v>
      </c>
      <c r="C9" s="74" t="n">
        <f aca="false">IFERROR(B9/B9,0)</f>
        <v>1</v>
      </c>
      <c r="D9" s="19"/>
    </row>
    <row r="11" customFormat="false" ht="15" hidden="false" customHeight="false" outlineLevel="0" collapsed="false">
      <c r="A11" s="11" t="s">
        <v>403</v>
      </c>
    </row>
    <row r="12" customFormat="false" ht="30" hidden="false" customHeight="true" outlineLevel="0" collapsed="false">
      <c r="A12" s="12" t="s">
        <v>40</v>
      </c>
      <c r="B12" s="23" t="s">
        <v>84</v>
      </c>
      <c r="C12" s="12" t="s">
        <v>42</v>
      </c>
      <c r="D12" s="12" t="s">
        <v>82</v>
      </c>
      <c r="E12" s="23" t="s">
        <v>86</v>
      </c>
      <c r="F12" s="23" t="s">
        <v>87</v>
      </c>
      <c r="G12" s="23" t="s">
        <v>88</v>
      </c>
      <c r="H12" s="23" t="s">
        <v>89</v>
      </c>
      <c r="I12" s="23" t="s">
        <v>90</v>
      </c>
      <c r="J12" s="23" t="s">
        <v>91</v>
      </c>
      <c r="K12" s="23" t="s">
        <v>92</v>
      </c>
      <c r="L12" s="23" t="s">
        <v>93</v>
      </c>
      <c r="M12" s="23" t="s">
        <v>94</v>
      </c>
      <c r="N12" s="23" t="s">
        <v>95</v>
      </c>
      <c r="O12" s="23" t="s">
        <v>96</v>
      </c>
      <c r="P12" s="23" t="s">
        <v>97</v>
      </c>
      <c r="Q12" s="12" t="s">
        <v>404</v>
      </c>
    </row>
    <row r="13" customFormat="false" ht="15" hidden="false" customHeight="false" outlineLevel="0" collapsed="false">
      <c r="A13" s="13" t="s">
        <v>405</v>
      </c>
      <c r="B13" s="37" t="s">
        <v>37</v>
      </c>
      <c r="C13" s="28" t="s">
        <v>406</v>
      </c>
      <c r="D13" s="82" t="s">
        <v>407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36" t="str">
        <f aca="false">IFERROR(AVERAGE(E13:P13),"")</f>
        <v/>
      </c>
    </row>
    <row r="14" customFormat="false" ht="15" hidden="false" customHeight="false" outlineLevel="0" collapsed="false">
      <c r="A14" s="13" t="s">
        <v>408</v>
      </c>
      <c r="B14" s="37" t="s">
        <v>37</v>
      </c>
      <c r="C14" s="28" t="s">
        <v>406</v>
      </c>
      <c r="D14" s="82" t="s">
        <v>409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36" t="str">
        <f aca="false">IFERROR(AVERAGE(E14:P14),"")</f>
        <v/>
      </c>
    </row>
    <row r="15" customFormat="false" ht="15" hidden="false" customHeight="false" outlineLevel="0" collapsed="false">
      <c r="A15" s="13" t="s">
        <v>410</v>
      </c>
      <c r="B15" s="37" t="s">
        <v>37</v>
      </c>
      <c r="C15" s="28" t="s">
        <v>406</v>
      </c>
      <c r="D15" s="82" t="s">
        <v>411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36" t="n">
        <f aca="false">IFERROR(SUM(E15:P15),"")</f>
        <v>0</v>
      </c>
    </row>
    <row r="16" customFormat="false" ht="15" hidden="false" customHeight="false" outlineLevel="0" collapsed="false">
      <c r="A16" s="13" t="s">
        <v>412</v>
      </c>
      <c r="B16" s="37" t="s">
        <v>37</v>
      </c>
      <c r="C16" s="28" t="s">
        <v>406</v>
      </c>
      <c r="D16" s="82" t="s">
        <v>413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36" t="n">
        <f aca="false">IFERROR(SUM(E16:P16),"")</f>
        <v>0</v>
      </c>
    </row>
    <row r="17" customFormat="false" ht="15" hidden="false" customHeight="false" outlineLevel="0" collapsed="false">
      <c r="A17" s="26" t="s">
        <v>414</v>
      </c>
      <c r="B17" s="37" t="s">
        <v>37</v>
      </c>
      <c r="C17" s="28" t="s">
        <v>406</v>
      </c>
      <c r="D17" s="82" t="s">
        <v>415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36" t="n">
        <f aca="false">IFERROR(SUM(E17:P17),"")</f>
        <v>0</v>
      </c>
    </row>
    <row r="18" customFormat="false" ht="15" hidden="false" customHeight="false" outlineLevel="0" collapsed="false">
      <c r="A18" s="13" t="s">
        <v>416</v>
      </c>
      <c r="B18" s="33" t="n">
        <f aca="false">02_KPI목표!F9</f>
        <v>0.03</v>
      </c>
      <c r="C18" s="25" t="s">
        <v>50</v>
      </c>
      <c r="D18" s="82" t="s">
        <v>119</v>
      </c>
      <c r="E18" s="79" t="n">
        <f aca="false">IFERROR(E14/$B$9,"")</f>
        <v>0</v>
      </c>
      <c r="F18" s="79" t="n">
        <f aca="false">IFERROR(F14/$B$9,"")</f>
        <v>0</v>
      </c>
      <c r="G18" s="79" t="n">
        <f aca="false">IFERROR(G14/$B$9,"")</f>
        <v>0</v>
      </c>
      <c r="H18" s="79" t="n">
        <f aca="false">IFERROR(H14/$B$9,"")</f>
        <v>0</v>
      </c>
      <c r="I18" s="79" t="n">
        <f aca="false">IFERROR(I14/$B$9,"")</f>
        <v>0</v>
      </c>
      <c r="J18" s="79" t="n">
        <f aca="false">IFERROR(J14/$B$9,"")</f>
        <v>0</v>
      </c>
      <c r="K18" s="79" t="n">
        <f aca="false">IFERROR(K14/$B$9,"")</f>
        <v>0</v>
      </c>
      <c r="L18" s="79" t="n">
        <f aca="false">IFERROR(L14/$B$9,"")</f>
        <v>0</v>
      </c>
      <c r="M18" s="79" t="n">
        <f aca="false">IFERROR(M14/$B$9,"")</f>
        <v>0</v>
      </c>
      <c r="N18" s="79" t="n">
        <f aca="false">IFERROR(N14/$B$9,"")</f>
        <v>0</v>
      </c>
      <c r="O18" s="79" t="n">
        <f aca="false">IFERROR(O14/$B$9,"")</f>
        <v>0</v>
      </c>
      <c r="P18" s="79" t="n">
        <f aca="false">IFERROR(P14/$B$9,"")</f>
        <v>0</v>
      </c>
      <c r="Q18" s="34" t="n">
        <f aca="false">IFERROR(AVERAGE(E18:P18),"")</f>
        <v>0</v>
      </c>
    </row>
    <row r="19" customFormat="false" ht="15" hidden="false" customHeight="false" outlineLevel="0" collapsed="false">
      <c r="A19" s="13" t="s">
        <v>417</v>
      </c>
      <c r="B19" s="33" t="n">
        <f aca="false">02_KPI목표!F10</f>
        <v>0.035</v>
      </c>
      <c r="C19" s="25" t="s">
        <v>50</v>
      </c>
      <c r="D19" s="82" t="s">
        <v>123</v>
      </c>
      <c r="E19" s="79" t="str">
        <f aca="false">IFERROR(E16/E13,"")</f>
        <v/>
      </c>
      <c r="F19" s="79" t="str">
        <f aca="false">IFERROR(F16/F13,"")</f>
        <v/>
      </c>
      <c r="G19" s="79" t="str">
        <f aca="false">IFERROR(G16/G13,"")</f>
        <v/>
      </c>
      <c r="H19" s="79" t="str">
        <f aca="false">IFERROR(H16/H13,"")</f>
        <v/>
      </c>
      <c r="I19" s="79" t="str">
        <f aca="false">IFERROR(I16/I13,"")</f>
        <v/>
      </c>
      <c r="J19" s="79" t="str">
        <f aca="false">IFERROR(J16/J13,"")</f>
        <v/>
      </c>
      <c r="K19" s="79" t="str">
        <f aca="false">IFERROR(K16/K13,"")</f>
        <v/>
      </c>
      <c r="L19" s="79" t="str">
        <f aca="false">IFERROR(L16/L13,"")</f>
        <v/>
      </c>
      <c r="M19" s="79" t="str">
        <f aca="false">IFERROR(M16/M13,"")</f>
        <v/>
      </c>
      <c r="N19" s="79" t="str">
        <f aca="false">IFERROR(N16/N13,"")</f>
        <v/>
      </c>
      <c r="O19" s="79" t="str">
        <f aca="false">IFERROR(O16/O13,"")</f>
        <v/>
      </c>
      <c r="P19" s="79" t="str">
        <f aca="false">IFERROR(P16/P13,"")</f>
        <v/>
      </c>
      <c r="Q19" s="34" t="str">
        <f aca="false">IFERROR(AVERAGE(E19:P19),"")</f>
        <v/>
      </c>
    </row>
    <row r="20" customFormat="false" ht="15" hidden="false" customHeight="false" outlineLevel="0" collapsed="false">
      <c r="A20" s="13" t="s">
        <v>418</v>
      </c>
      <c r="B20" s="37" t="s">
        <v>37</v>
      </c>
      <c r="C20" s="25" t="s">
        <v>50</v>
      </c>
      <c r="D20" s="81" t="s">
        <v>419</v>
      </c>
      <c r="E20" s="79" t="str">
        <f aca="false">IFERROR(E17/E15,"")</f>
        <v/>
      </c>
      <c r="F20" s="79" t="str">
        <f aca="false">IFERROR(F17/F15,"")</f>
        <v/>
      </c>
      <c r="G20" s="79" t="str">
        <f aca="false">IFERROR(G17/G15,"")</f>
        <v/>
      </c>
      <c r="H20" s="79" t="str">
        <f aca="false">IFERROR(H17/H15,"")</f>
        <v/>
      </c>
      <c r="I20" s="79" t="str">
        <f aca="false">IFERROR(I17/I15,"")</f>
        <v/>
      </c>
      <c r="J20" s="79" t="str">
        <f aca="false">IFERROR(J17/J15,"")</f>
        <v/>
      </c>
      <c r="K20" s="79" t="str">
        <f aca="false">IFERROR(K17/K15,"")</f>
        <v/>
      </c>
      <c r="L20" s="79" t="str">
        <f aca="false">IFERROR(L17/L15,"")</f>
        <v/>
      </c>
      <c r="M20" s="79" t="str">
        <f aca="false">IFERROR(M17/M15,"")</f>
        <v/>
      </c>
      <c r="N20" s="79" t="str">
        <f aca="false">IFERROR(N17/N15,"")</f>
        <v/>
      </c>
      <c r="O20" s="79" t="str">
        <f aca="false">IFERROR(O17/O15,"")</f>
        <v/>
      </c>
      <c r="P20" s="79" t="str">
        <f aca="false">IFERROR(P17/P15,"")</f>
        <v/>
      </c>
      <c r="Q20" s="34" t="str">
        <f aca="false">IFERROR(AVERAGE(E20:P20),"")</f>
        <v/>
      </c>
    </row>
    <row r="22" customFormat="false" ht="30" hidden="false" customHeight="true" outlineLevel="0" collapsed="false">
      <c r="A22" s="77" t="s">
        <v>150</v>
      </c>
      <c r="B22" s="39" t="s">
        <v>420</v>
      </c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</row>
  </sheetData>
  <mergeCells count="3">
    <mergeCell ref="A1:Q1"/>
    <mergeCell ref="A2:Q2"/>
    <mergeCell ref="B22:Q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44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52"/>
    <col collapsed="false" customWidth="true" hidden="false" outlineLevel="0" max="8" min="7" style="0" width="11"/>
    <col collapsed="false" customWidth="true" hidden="false" outlineLevel="0" max="9" min="9" style="0" width="12"/>
  </cols>
  <sheetData>
    <row r="1" customFormat="false" ht="24" hidden="false" customHeight="true" outlineLevel="0" collapsed="false">
      <c r="A1" s="9" t="s">
        <v>421</v>
      </c>
      <c r="B1" s="9"/>
      <c r="C1" s="9"/>
      <c r="D1" s="9"/>
      <c r="E1" s="9"/>
      <c r="F1" s="9"/>
      <c r="G1" s="9"/>
      <c r="H1" s="9"/>
      <c r="I1" s="9"/>
    </row>
    <row r="2" customFormat="false" ht="13.4" hidden="false" customHeight="false" outlineLevel="0" collapsed="false">
      <c r="A2" s="10" t="s">
        <v>422</v>
      </c>
      <c r="B2" s="10"/>
      <c r="C2" s="10"/>
      <c r="D2" s="10"/>
      <c r="E2" s="10"/>
      <c r="F2" s="10"/>
      <c r="G2" s="10"/>
      <c r="H2" s="10"/>
      <c r="I2" s="10"/>
    </row>
    <row r="4" customFormat="false" ht="30" hidden="false" customHeight="true" outlineLevel="0" collapsed="false">
      <c r="A4" s="23" t="s">
        <v>80</v>
      </c>
      <c r="B4" s="12" t="s">
        <v>360</v>
      </c>
      <c r="C4" s="12" t="s">
        <v>423</v>
      </c>
      <c r="D4" s="12" t="s">
        <v>424</v>
      </c>
      <c r="E4" s="12" t="s">
        <v>425</v>
      </c>
      <c r="F4" s="12" t="s">
        <v>426</v>
      </c>
      <c r="G4" s="12" t="s">
        <v>258</v>
      </c>
      <c r="H4" s="12" t="s">
        <v>427</v>
      </c>
      <c r="I4" s="12" t="s">
        <v>428</v>
      </c>
    </row>
    <row r="5" customFormat="false" ht="33.75" hidden="false" customHeight="true" outlineLevel="0" collapsed="false">
      <c r="A5" s="60" t="s">
        <v>429</v>
      </c>
      <c r="B5" s="83" t="s">
        <v>430</v>
      </c>
      <c r="C5" s="5" t="s">
        <v>431</v>
      </c>
      <c r="D5" s="84" t="s">
        <v>432</v>
      </c>
      <c r="E5" s="85" t="s">
        <v>433</v>
      </c>
      <c r="F5" s="61" t="s">
        <v>434</v>
      </c>
      <c r="G5" s="63" t="s">
        <v>308</v>
      </c>
      <c r="H5" s="63" t="s">
        <v>435</v>
      </c>
      <c r="I5" s="31" t="s">
        <v>436</v>
      </c>
    </row>
    <row r="6" customFormat="false" ht="33.75" hidden="false" customHeight="true" outlineLevel="0" collapsed="false">
      <c r="A6" s="60" t="s">
        <v>437</v>
      </c>
      <c r="B6" s="83" t="s">
        <v>438</v>
      </c>
      <c r="C6" s="5" t="s">
        <v>439</v>
      </c>
      <c r="D6" s="84" t="s">
        <v>432</v>
      </c>
      <c r="E6" s="86" t="s">
        <v>440</v>
      </c>
      <c r="F6" s="61" t="s">
        <v>441</v>
      </c>
      <c r="G6" s="63" t="s">
        <v>313</v>
      </c>
      <c r="H6" s="63" t="s">
        <v>154</v>
      </c>
      <c r="I6" s="31" t="s">
        <v>436</v>
      </c>
    </row>
    <row r="7" customFormat="false" ht="33.75" hidden="false" customHeight="true" outlineLevel="0" collapsed="false">
      <c r="A7" s="60" t="s">
        <v>442</v>
      </c>
      <c r="B7" s="83" t="s">
        <v>443</v>
      </c>
      <c r="C7" s="5" t="s">
        <v>444</v>
      </c>
      <c r="D7" s="85" t="s">
        <v>433</v>
      </c>
      <c r="E7" s="85" t="s">
        <v>433</v>
      </c>
      <c r="F7" s="61" t="s">
        <v>445</v>
      </c>
      <c r="G7" s="63" t="s">
        <v>329</v>
      </c>
      <c r="H7" s="63" t="s">
        <v>154</v>
      </c>
      <c r="I7" s="31" t="s">
        <v>436</v>
      </c>
    </row>
    <row r="8" customFormat="false" ht="33.75" hidden="false" customHeight="true" outlineLevel="0" collapsed="false">
      <c r="A8" s="60" t="s">
        <v>446</v>
      </c>
      <c r="B8" s="83" t="s">
        <v>447</v>
      </c>
      <c r="C8" s="5" t="s">
        <v>448</v>
      </c>
      <c r="D8" s="85" t="s">
        <v>433</v>
      </c>
      <c r="E8" s="84" t="s">
        <v>432</v>
      </c>
      <c r="F8" s="61" t="s">
        <v>449</v>
      </c>
      <c r="G8" s="63" t="s">
        <v>296</v>
      </c>
      <c r="H8" s="63" t="s">
        <v>150</v>
      </c>
      <c r="I8" s="31" t="s">
        <v>436</v>
      </c>
    </row>
    <row r="9" customFormat="false" ht="33.75" hidden="false" customHeight="true" outlineLevel="0" collapsed="false">
      <c r="A9" s="60" t="s">
        <v>450</v>
      </c>
      <c r="B9" s="83" t="s">
        <v>451</v>
      </c>
      <c r="C9" s="6" t="s">
        <v>452</v>
      </c>
      <c r="D9" s="84" t="s">
        <v>432</v>
      </c>
      <c r="E9" s="85" t="s">
        <v>433</v>
      </c>
      <c r="F9" s="72" t="s">
        <v>453</v>
      </c>
      <c r="G9" s="63" t="s">
        <v>308</v>
      </c>
      <c r="H9" s="63" t="s">
        <v>157</v>
      </c>
      <c r="I9" s="31" t="s">
        <v>436</v>
      </c>
    </row>
    <row r="10" customFormat="false" ht="33.75" hidden="false" customHeight="true" outlineLevel="0" collapsed="false">
      <c r="A10" s="60" t="s">
        <v>454</v>
      </c>
      <c r="B10" s="83" t="s">
        <v>438</v>
      </c>
      <c r="C10" s="5" t="s">
        <v>455</v>
      </c>
      <c r="D10" s="85" t="s">
        <v>433</v>
      </c>
      <c r="E10" s="85" t="s">
        <v>433</v>
      </c>
      <c r="F10" s="72" t="s">
        <v>456</v>
      </c>
      <c r="G10" s="63" t="s">
        <v>313</v>
      </c>
      <c r="H10" s="63" t="s">
        <v>457</v>
      </c>
      <c r="I10" s="31" t="s">
        <v>436</v>
      </c>
    </row>
    <row r="11" customFormat="false" ht="33.75" hidden="false" customHeight="true" outlineLevel="0" collapsed="false">
      <c r="A11" s="60" t="s">
        <v>458</v>
      </c>
      <c r="B11" s="83" t="s">
        <v>459</v>
      </c>
      <c r="C11" s="6" t="s">
        <v>460</v>
      </c>
      <c r="D11" s="85" t="s">
        <v>433</v>
      </c>
      <c r="E11" s="85" t="s">
        <v>433</v>
      </c>
      <c r="F11" s="61" t="s">
        <v>461</v>
      </c>
      <c r="G11" s="63" t="s">
        <v>334</v>
      </c>
      <c r="H11" s="63" t="s">
        <v>154</v>
      </c>
      <c r="I11" s="31" t="s">
        <v>436</v>
      </c>
    </row>
    <row r="12" customFormat="false" ht="33.75" hidden="false" customHeight="true" outlineLevel="0" collapsed="false">
      <c r="A12" s="60" t="s">
        <v>462</v>
      </c>
      <c r="B12" s="83" t="s">
        <v>463</v>
      </c>
      <c r="C12" s="5" t="s">
        <v>464</v>
      </c>
      <c r="D12" s="85" t="s">
        <v>433</v>
      </c>
      <c r="E12" s="85" t="s">
        <v>433</v>
      </c>
      <c r="F12" s="61" t="s">
        <v>465</v>
      </c>
      <c r="G12" s="63" t="s">
        <v>308</v>
      </c>
      <c r="H12" s="63" t="s">
        <v>150</v>
      </c>
      <c r="I12" s="31" t="s">
        <v>436</v>
      </c>
    </row>
    <row r="15" customFormat="false" ht="15" hidden="false" customHeight="true" outlineLevel="0" collapsed="false">
      <c r="A15" s="87" t="s">
        <v>466</v>
      </c>
      <c r="C15" s="88" t="s">
        <v>467</v>
      </c>
      <c r="D15" s="88"/>
      <c r="E15" s="88"/>
      <c r="F15" s="88"/>
      <c r="G15" s="88"/>
      <c r="H15" s="88"/>
      <c r="I15" s="88"/>
    </row>
  </sheetData>
  <mergeCells count="3">
    <mergeCell ref="A1:I1"/>
    <mergeCell ref="A2:I2"/>
    <mergeCell ref="C15:I15"/>
  </mergeCells>
  <dataValidations count="1">
    <dataValidation allowBlank="true" errorStyle="stop" operator="between" showDropDown="false" showErrorMessage="false" showInputMessage="false" sqref="I5:I12" type="list">
      <formula1>"미착수,진행중,완료,보류"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0"/>
  </cols>
  <sheetData>
    <row r="1" customFormat="false" ht="24" hidden="false" customHeight="true" outlineLevel="0" collapsed="false">
      <c r="A1" s="9" t="s">
        <v>468</v>
      </c>
      <c r="B1" s="9"/>
      <c r="C1" s="9"/>
    </row>
    <row r="2" customFormat="false" ht="13.4" hidden="false" customHeight="false" outlineLevel="0" collapsed="false">
      <c r="A2" s="10" t="s">
        <v>469</v>
      </c>
      <c r="B2" s="10"/>
      <c r="C2" s="10"/>
    </row>
    <row r="4" customFormat="false" ht="30" hidden="false" customHeight="true" outlineLevel="0" collapsed="false">
      <c r="A4" s="12" t="s">
        <v>470</v>
      </c>
      <c r="B4" s="12" t="s">
        <v>471</v>
      </c>
    </row>
    <row r="5" customFormat="false" ht="31.5" hidden="false" customHeight="true" outlineLevel="0" collapsed="false">
      <c r="A5" s="89" t="s">
        <v>472</v>
      </c>
      <c r="B5" s="5" t="s">
        <v>473</v>
      </c>
    </row>
    <row r="6" customFormat="false" ht="31.5" hidden="false" customHeight="true" outlineLevel="0" collapsed="false">
      <c r="A6" s="89" t="s">
        <v>474</v>
      </c>
      <c r="B6" s="5" t="s">
        <v>475</v>
      </c>
    </row>
    <row r="7" customFormat="false" ht="31.5" hidden="false" customHeight="true" outlineLevel="0" collapsed="false">
      <c r="A7" s="89" t="s">
        <v>476</v>
      </c>
      <c r="B7" s="5" t="s">
        <v>477</v>
      </c>
    </row>
    <row r="8" customFormat="false" ht="31.5" hidden="false" customHeight="true" outlineLevel="0" collapsed="false">
      <c r="A8" s="89" t="s">
        <v>157</v>
      </c>
      <c r="B8" s="5" t="s">
        <v>478</v>
      </c>
    </row>
    <row r="9" customFormat="false" ht="31.5" hidden="false" customHeight="true" outlineLevel="0" collapsed="false">
      <c r="A9" s="89" t="s">
        <v>435</v>
      </c>
      <c r="B9" s="5" t="s">
        <v>479</v>
      </c>
    </row>
    <row r="10" customFormat="false" ht="31.5" hidden="false" customHeight="true" outlineLevel="0" collapsed="false">
      <c r="A10" s="89" t="s">
        <v>480</v>
      </c>
      <c r="B10" s="5" t="s">
        <v>481</v>
      </c>
    </row>
    <row r="12" customFormat="false" ht="33.75" hidden="false" customHeight="true" outlineLevel="0" collapsed="false">
      <c r="A12" s="87" t="s">
        <v>482</v>
      </c>
      <c r="B12" s="90" t="s">
        <v>483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2026-08-29T02:51:09Z</dcterms:created>
  <dc:creator>openpyxl</dc:creator>
  <dc:description/>
  <dc:language>en-US</dc:language>
  <cp:lastModifiedBy/>
  <dcterms:modified xsi:type="dcterms:W3CDTF">2026-08-29T02:51:09Z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