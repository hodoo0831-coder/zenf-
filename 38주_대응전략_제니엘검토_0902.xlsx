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_-;_-@_-"/>
    <numFmt numFmtId="165" formatCode="0.0%"/>
  </numFmts>
  <fonts count="9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Arita Buri KR Medium"/>
      <charset val="129"/>
      <family val="1"/>
      <color theme="1"/>
      <sz val="11"/>
    </font>
    <font>
      <name val="Arita Buri KR Medium"/>
      <charset val="129"/>
      <family val="1"/>
      <b val="1"/>
      <color theme="1"/>
      <sz val="11"/>
    </font>
    <font>
      <name val="Arita Buri KR Medium"/>
      <charset val="129"/>
      <family val="1"/>
      <color theme="1"/>
      <sz val="11"/>
      <u val="single"/>
    </font>
    <font>
      <name val="Arita Buri KR Medium"/>
      <charset val="129"/>
      <family val="1"/>
      <color theme="0" tint="-0.3499862666707358"/>
      <sz val="11"/>
    </font>
    <font>
      <name val="Arita Buri KR Medium"/>
      <b val="1"/>
      <color rgb="00FFFFFF"/>
      <sz val="11"/>
    </font>
    <font>
      <name val="Arita Buri KR Medium"/>
      <color rgb="00000000"/>
      <sz val="10"/>
    </font>
  </fonts>
  <fills count="9">
    <fill>
      <patternFill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000F2438"/>
      </patternFill>
    </fill>
    <fill>
      <patternFill patternType="solid">
        <fgColor rgb="00E8F1E6"/>
      </patternFill>
    </fill>
    <fill>
      <patternFill patternType="solid">
        <fgColor rgb="00F2F4F4"/>
      </patternFill>
    </fill>
    <fill>
      <patternFill patternType="solid">
        <fgColor rgb="00FCE4E4"/>
      </patternFill>
    </fill>
  </fills>
  <borders count="24">
    <border>
      <left/>
      <right/>
      <top/>
      <bottom/>
      <diagonal/>
    </border>
    <border>
      <left/>
      <right style="thin">
        <color theme="0" tint="-0.3499862666707358"/>
      </right>
      <top style="medium">
        <color theme="0" tint="-0.3499862666707358"/>
      </top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theme="0" tint="-0.3499862666707358"/>
      </right>
      <top style="medium">
        <color theme="0" tint="-0.3499862666707358"/>
      </top>
      <bottom style="thin">
        <color theme="0" tint="-0.3499862666707358"/>
      </bottom>
      <diagonal/>
    </border>
    <border>
      <left style="thin">
        <color theme="0" tint="-0.3499862666707358"/>
      </left>
      <right/>
      <top style="medium">
        <color theme="0" tint="-0.349986266670735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medium">
        <color theme="0" tint="-0.3499862666707358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medium">
        <color theme="0" tint="-0.3499862666707358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medium">
        <color theme="0" tint="-0.349986266670735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/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/>
      <diagonal/>
    </border>
    <border>
      <left/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theme="0" tint="-0.3499862666707358"/>
      </right>
      <top/>
      <bottom style="thin">
        <color theme="0" tint="-0.3499862666707358"/>
      </bottom>
      <diagonal/>
    </border>
    <border>
      <left/>
      <right/>
      <top style="thin">
        <color theme="0" tint="-0.3499862666707358"/>
      </top>
      <bottom style="medium">
        <color theme="0" tint="-0.3499862666707358"/>
      </bottom>
      <diagonal/>
    </border>
    <border>
      <left style="thin">
        <color theme="0" tint="-0.3499862666707358"/>
      </left>
      <right/>
      <top style="thin">
        <color theme="0" tint="-0.3499862666707358"/>
      </top>
      <bottom/>
      <diagonal/>
    </border>
    <border>
      <left/>
      <right/>
      <top style="thin">
        <color theme="0" tint="-0.3499862666707358"/>
      </top>
      <bottom/>
      <diagonal/>
    </border>
    <border>
      <left/>
      <right style="thin">
        <color theme="0" tint="-0.3499862666707358"/>
      </right>
      <top/>
      <bottom/>
      <diagonal/>
    </border>
    <border>
      <left style="thin">
        <color theme="0" tint="-0.3499862666707358"/>
      </left>
      <right/>
      <top/>
      <bottom/>
      <diagonal/>
    </border>
    <border>
      <left style="thin">
        <color theme="0" tint="-0.3499862666707358"/>
      </left>
      <right style="thin">
        <color theme="0" tint="-0.3499862666707358"/>
      </right>
      <top/>
      <bottom/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  <border>
      <left/>
      <right/>
      <top style="medium">
        <color theme="0" tint="-0.3499862666707358"/>
      </top>
      <bottom/>
      <diagonal/>
    </border>
    <border>
      <left/>
      <right style="thin">
        <color theme="0" tint="-0.3499862666707358"/>
      </right>
      <top style="medium">
        <color theme="0" tint="-0.3499862666707358"/>
      </top>
      <bottom/>
      <diagonal/>
    </border>
    <border>
      <left/>
      <right/>
      <top style="medium">
        <color theme="0" tint="-0.3499862666707358"/>
      </top>
      <bottom style="thin">
        <color theme="0" tint="-0.3499862666707358"/>
      </bottom>
      <diagonal/>
    </border>
  </borders>
  <cellStyleXfs count="3">
    <xf numFmtId="0" fontId="1" fillId="0" borderId="0" applyAlignment="1">
      <alignment vertical="center"/>
    </xf>
    <xf numFmtId="41" fontId="1" fillId="0" borderId="0" applyAlignment="1">
      <alignment vertical="center"/>
    </xf>
    <xf numFmtId="9" fontId="1" fillId="0" borderId="0" applyAlignment="1">
      <alignment vertical="center"/>
    </xf>
  </cellStyleXfs>
  <cellXfs count="84">
    <xf numFmtId="0" fontId="0" fillId="0" borderId="0" applyAlignment="1" pivotButton="0" quotePrefix="0" xfId="0">
      <alignment vertical="center"/>
    </xf>
    <xf numFmtId="0" fontId="3" fillId="0" borderId="5" applyAlignment="1" pivotButton="0" quotePrefix="0" xfId="0">
      <alignment horizontal="center" vertical="center"/>
    </xf>
    <xf numFmtId="0" fontId="3" fillId="0" borderId="10" applyAlignment="1" pivotButton="0" quotePrefix="0" xfId="0">
      <alignment horizontal="center" vertical="center"/>
    </xf>
    <xf numFmtId="164" fontId="3" fillId="0" borderId="11" applyAlignment="1" pivotButton="0" quotePrefix="0" xfId="1">
      <alignment horizontal="center" vertical="center"/>
    </xf>
    <xf numFmtId="0" fontId="3" fillId="0" borderId="6" applyAlignment="1" pivotButton="0" quotePrefix="0" xfId="0">
      <alignment vertical="center" wrapText="1"/>
    </xf>
    <xf numFmtId="0" fontId="3" fillId="0" borderId="12" applyAlignment="1" pivotButton="0" quotePrefix="0" xfId="0">
      <alignment vertical="center"/>
    </xf>
    <xf numFmtId="0" fontId="3" fillId="0" borderId="13" applyAlignment="1" pivotButton="0" quotePrefix="0" xfId="0">
      <alignment horizontal="center" vertical="center"/>
    </xf>
    <xf numFmtId="164" fontId="3" fillId="0" borderId="11" applyAlignment="1" pivotButton="0" quotePrefix="0" xfId="1">
      <alignment vertical="center"/>
    </xf>
    <xf numFmtId="164" fontId="3" fillId="0" borderId="11" applyAlignment="1" pivotButton="0" quotePrefix="0" xfId="0">
      <alignment vertical="center"/>
    </xf>
    <xf numFmtId="164" fontId="3" fillId="0" borderId="5" applyAlignment="1" pivotButton="0" quotePrefix="0" xfId="1">
      <alignment vertical="center"/>
    </xf>
    <xf numFmtId="0" fontId="3" fillId="0" borderId="13" applyAlignment="1" pivotButton="0" quotePrefix="0" xfId="0">
      <alignment vertical="center"/>
    </xf>
    <xf numFmtId="0" fontId="3" fillId="0" borderId="5" applyAlignment="1" pivotButton="0" quotePrefix="0" xfId="0">
      <alignment vertical="center"/>
    </xf>
    <xf numFmtId="0" fontId="3" fillId="0" borderId="4" applyAlignment="1" pivotButton="0" quotePrefix="0" xfId="0">
      <alignment horizontal="center" vertical="center"/>
    </xf>
    <xf numFmtId="164" fontId="3" fillId="0" borderId="5" applyAlignment="1" pivotButton="0" quotePrefix="0" xfId="0">
      <alignment vertical="center"/>
    </xf>
    <xf numFmtId="0" fontId="3" fillId="0" borderId="6" applyAlignment="1" pivotButton="0" quotePrefix="0" xfId="0">
      <alignment vertical="center"/>
    </xf>
    <xf numFmtId="0" fontId="3" fillId="0" borderId="7" applyAlignment="1" pivotButton="0" quotePrefix="0" xfId="0">
      <alignment horizontal="center" vertical="center"/>
    </xf>
    <xf numFmtId="0" fontId="3" fillId="0" borderId="9" applyAlignment="1" pivotButton="0" quotePrefix="0" xfId="0">
      <alignment horizontal="center" vertical="center"/>
    </xf>
    <xf numFmtId="0" fontId="3" fillId="0" borderId="14" applyAlignment="1" pivotButton="0" quotePrefix="0" xfId="0">
      <alignment horizontal="center" vertical="center"/>
    </xf>
    <xf numFmtId="0" fontId="3" fillId="0" borderId="7" applyAlignment="1" pivotButton="0" quotePrefix="0" xfId="0">
      <alignment horizontal="center" vertical="center"/>
    </xf>
    <xf numFmtId="0" fontId="3" fillId="0" borderId="8" applyAlignment="1" pivotButton="0" quotePrefix="0" xfId="0">
      <alignment vertical="center"/>
    </xf>
    <xf numFmtId="0" fontId="3" fillId="0" borderId="9" applyAlignment="1" pivotButton="0" quotePrefix="0" xfId="0">
      <alignment vertical="center" wrapText="1"/>
    </xf>
    <xf numFmtId="0" fontId="4" fillId="2" borderId="1" applyAlignment="1" pivotButton="0" quotePrefix="0" xfId="0">
      <alignment horizontal="center" vertical="center"/>
    </xf>
    <xf numFmtId="0" fontId="4" fillId="2" borderId="2" applyAlignment="1" pivotButton="0" quotePrefix="0" xfId="0">
      <alignment horizontal="center" vertical="center"/>
    </xf>
    <xf numFmtId="0" fontId="4" fillId="2" borderId="3" applyAlignment="1" pivotButton="0" quotePrefix="0" xfId="0">
      <alignment horizontal="center" vertical="center"/>
    </xf>
    <xf numFmtId="0" fontId="4" fillId="2" borderId="4" applyAlignment="1" pivotButton="0" quotePrefix="0" xfId="0">
      <alignment horizontal="center" vertical="center"/>
    </xf>
    <xf numFmtId="0" fontId="4" fillId="2" borderId="5" applyAlignment="1" pivotButton="0" quotePrefix="0" xfId="0">
      <alignment horizontal="center" vertical="center"/>
    </xf>
    <xf numFmtId="0" fontId="4" fillId="2" borderId="5" applyAlignment="1" pivotButton="0" quotePrefix="0" xfId="0">
      <alignment horizontal="center" vertical="center"/>
    </xf>
    <xf numFmtId="0" fontId="4" fillId="2" borderId="6" applyAlignment="1" pivotButton="0" quotePrefix="0" xfId="0">
      <alignment horizontal="center" vertical="center"/>
    </xf>
    <xf numFmtId="0" fontId="3" fillId="0" borderId="6" applyAlignment="1" pivotButton="0" quotePrefix="0" xfId="0">
      <alignment horizontal="center" vertical="center" wrapText="1"/>
    </xf>
    <xf numFmtId="0" fontId="3" fillId="0" borderId="12" applyAlignment="1" pivotButton="0" quotePrefix="0" xfId="0">
      <alignment horizontal="center" vertical="center"/>
    </xf>
    <xf numFmtId="0" fontId="3" fillId="0" borderId="6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3" fillId="3" borderId="6" applyAlignment="1" pivotButton="0" quotePrefix="0" xfId="0">
      <alignment vertical="center" wrapText="1"/>
    </xf>
    <xf numFmtId="0" fontId="3" fillId="3" borderId="6" applyAlignment="1" pivotButton="0" quotePrefix="0" xfId="0">
      <alignment horizontal="center" vertical="center" wrapText="1"/>
    </xf>
    <xf numFmtId="0" fontId="3" fillId="4" borderId="6" applyAlignment="1" pivotButton="0" quotePrefix="0" xfId="0">
      <alignment vertical="center" wrapText="1"/>
    </xf>
    <xf numFmtId="0" fontId="3" fillId="4" borderId="6" applyAlignment="1" pivotButton="0" quotePrefix="0" xfId="0">
      <alignment horizontal="center" vertical="center" wrapText="1"/>
    </xf>
    <xf numFmtId="164" fontId="3" fillId="0" borderId="15" applyAlignment="1" pivotButton="0" quotePrefix="0" xfId="1">
      <alignment vertical="center"/>
    </xf>
    <xf numFmtId="164" fontId="3" fillId="0" borderId="16" applyAlignment="1" pivotButton="0" quotePrefix="0" xfId="1">
      <alignment vertical="center"/>
    </xf>
    <xf numFmtId="164" fontId="3" fillId="0" borderId="10" applyAlignment="1" pivotButton="0" quotePrefix="0" xfId="1">
      <alignment vertical="center"/>
    </xf>
    <xf numFmtId="0" fontId="3" fillId="0" borderId="11" applyAlignment="1" pivotButton="0" quotePrefix="0" xfId="0">
      <alignment vertical="center"/>
    </xf>
    <xf numFmtId="0" fontId="3" fillId="0" borderId="15" applyAlignment="1" pivotButton="0" quotePrefix="0" xfId="0">
      <alignment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17" applyAlignment="1" pivotButton="0" quotePrefix="0" xfId="0">
      <alignment horizontal="center" vertical="center"/>
    </xf>
    <xf numFmtId="165" fontId="0" fillId="0" borderId="0" applyAlignment="1" pivotButton="0" quotePrefix="0" xfId="2">
      <alignment vertical="center"/>
    </xf>
    <xf numFmtId="0" fontId="3" fillId="0" borderId="0" applyAlignment="1" pivotButton="0" quotePrefix="0" xfId="0">
      <alignment vertical="center"/>
    </xf>
    <xf numFmtId="0" fontId="3" fillId="4" borderId="5" applyAlignment="1" pivotButton="0" quotePrefix="0" xfId="0">
      <alignment horizontal="center" vertical="center"/>
    </xf>
    <xf numFmtId="164" fontId="3" fillId="4" borderId="5" applyAlignment="1" pivotButton="0" quotePrefix="0" xfId="1">
      <alignment horizontal="center" vertical="center"/>
    </xf>
    <xf numFmtId="164" fontId="3" fillId="4" borderId="5" applyAlignment="1" pivotButton="0" quotePrefix="0" xfId="1">
      <alignment vertical="center"/>
    </xf>
    <xf numFmtId="0" fontId="3" fillId="3" borderId="5" applyAlignment="1" pivotButton="0" quotePrefix="0" xfId="0">
      <alignment horizontal="center" vertical="center"/>
    </xf>
    <xf numFmtId="164" fontId="3" fillId="3" borderId="5" applyAlignment="1" pivotButton="0" quotePrefix="0" xfId="1">
      <alignment horizontal="center" vertical="center"/>
    </xf>
    <xf numFmtId="164" fontId="3" fillId="3" borderId="5" applyAlignment="1" pivotButton="0" quotePrefix="0" xfId="1">
      <alignment vertical="center"/>
    </xf>
    <xf numFmtId="0" fontId="5" fillId="0" borderId="0" applyAlignment="1" pivotButton="0" quotePrefix="0" xfId="0">
      <alignment vertical="center"/>
    </xf>
    <xf numFmtId="0" fontId="0" fillId="0" borderId="0" pivotButton="0" quotePrefix="0" xfId="0"/>
    <xf numFmtId="0" fontId="0" fillId="0" borderId="1" pivotButton="0" quotePrefix="0" xfId="0"/>
    <xf numFmtId="0" fontId="0" fillId="0" borderId="23" pivotButton="0" quotePrefix="0" xfId="0"/>
    <xf numFmtId="0" fontId="7" fillId="5" borderId="3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3" pivotButton="0" quotePrefix="0" xfId="0"/>
    <xf numFmtId="0" fontId="0" fillId="0" borderId="20" pivotButton="0" quotePrefix="0" xfId="0"/>
    <xf numFmtId="164" fontId="3" fillId="0" borderId="11" applyAlignment="1" pivotButton="0" quotePrefix="0" xfId="1">
      <alignment horizontal="center" vertical="center"/>
    </xf>
    <xf numFmtId="164" fontId="3" fillId="4" borderId="5" applyAlignment="1" pivotButton="0" quotePrefix="0" xfId="1">
      <alignment horizontal="center" vertical="center"/>
    </xf>
    <xf numFmtId="0" fontId="8" fillId="6" borderId="6" applyAlignment="1" pivotButton="0" quotePrefix="0" xfId="0">
      <alignment horizontal="left" vertical="center" wrapText="1" indent="1"/>
    </xf>
    <xf numFmtId="164" fontId="3" fillId="3" borderId="5" applyAlignment="1" pivotButton="0" quotePrefix="0" xfId="1">
      <alignment horizontal="center" vertical="center"/>
    </xf>
    <xf numFmtId="164" fontId="3" fillId="0" borderId="11" applyAlignment="1" pivotButton="0" quotePrefix="0" xfId="1">
      <alignment vertical="center"/>
    </xf>
    <xf numFmtId="164" fontId="3" fillId="0" borderId="11" applyAlignment="1" pivotButton="0" quotePrefix="0" xfId="0">
      <alignment vertical="center"/>
    </xf>
    <xf numFmtId="164" fontId="3" fillId="3" borderId="5" applyAlignment="1" pivotButton="0" quotePrefix="0" xfId="1">
      <alignment vertical="center"/>
    </xf>
    <xf numFmtId="0" fontId="8" fillId="7" borderId="6" applyAlignment="1" pivotButton="0" quotePrefix="0" xfId="0">
      <alignment horizontal="left" vertical="center" wrapText="1" indent="1"/>
    </xf>
    <xf numFmtId="164" fontId="3" fillId="4" borderId="5" applyAlignment="1" pivotButton="0" quotePrefix="0" xfId="1">
      <alignment vertical="center"/>
    </xf>
    <xf numFmtId="164" fontId="3" fillId="0" borderId="5" applyAlignment="1" pivotButton="0" quotePrefix="0" xfId="1">
      <alignment vertical="center"/>
    </xf>
    <xf numFmtId="164" fontId="3" fillId="0" borderId="5" applyAlignment="1" pivotButton="0" quotePrefix="0" xfId="0">
      <alignment vertical="center"/>
    </xf>
    <xf numFmtId="0" fontId="8" fillId="0" borderId="6" applyAlignment="1" pivotButton="0" quotePrefix="0" xfId="0">
      <alignment horizontal="left" vertical="center" wrapText="1" indent="1"/>
    </xf>
    <xf numFmtId="164" fontId="3" fillId="0" borderId="15" applyAlignment="1" pivotButton="0" quotePrefix="0" xfId="1">
      <alignment vertical="center"/>
    </xf>
    <xf numFmtId="164" fontId="3" fillId="0" borderId="16" applyAlignment="1" pivotButton="0" quotePrefix="0" xfId="1">
      <alignment vertical="center"/>
    </xf>
    <xf numFmtId="164" fontId="3" fillId="0" borderId="10" applyAlignment="1" pivotButton="0" quotePrefix="0" xfId="1">
      <alignment vertical="center"/>
    </xf>
    <xf numFmtId="0" fontId="8" fillId="8" borderId="15" applyAlignment="1" pivotButton="0" quotePrefix="0" xfId="0">
      <alignment horizontal="left" vertical="center" wrapText="1" indent="1"/>
    </xf>
    <xf numFmtId="0" fontId="3" fillId="0" borderId="8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7" pivotButton="0" quotePrefix="0" xfId="0"/>
    <xf numFmtId="0" fontId="8" fillId="6" borderId="9" applyAlignment="1" pivotButton="0" quotePrefix="0" xfId="0">
      <alignment horizontal="left" vertical="center" wrapText="1" indent="1"/>
    </xf>
    <xf numFmtId="165" fontId="0" fillId="0" borderId="0" applyAlignment="1" pivotButton="0" quotePrefix="0" xfId="2">
      <alignment vertical="center"/>
    </xf>
    <xf numFmtId="0" fontId="8" fillId="7" borderId="0" applyAlignment="1" pivotButton="0" quotePrefix="0" xfId="0">
      <alignment horizontal="left" vertical="center" wrapText="1" indent="1"/>
    </xf>
    <xf numFmtId="0" fontId="8" fillId="0" borderId="0" applyAlignment="1" pivotButton="0" quotePrefix="0" xfId="0">
      <alignment horizontal="left" vertical="center" wrapText="1" indent="1"/>
    </xf>
    <xf numFmtId="0" fontId="8" fillId="8" borderId="0" applyAlignment="1" pivotButton="0" quotePrefix="0" xfId="0">
      <alignment horizontal="left" vertical="center" wrapText="1" indent="1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K29"/>
  <sheetViews>
    <sheetView showGridLines="0" tabSelected="1" zoomScale="130" zoomScaleNormal="130" workbookViewId="0">
      <selection activeCell="I15" sqref="I15"/>
    </sheetView>
  </sheetViews>
  <sheetFormatPr baseColWidth="8" defaultRowHeight="16.5"/>
  <cols>
    <col width="2.625" customWidth="1" style="53" min="1" max="1"/>
    <col width="10.375" bestFit="1" customWidth="1" style="53" min="2" max="2"/>
    <col width="12.875" bestFit="1" customWidth="1" style="53" min="3" max="3"/>
    <col width="11.75" bestFit="1" customWidth="1" style="53" min="4" max="4"/>
    <col width="10.25" bestFit="1" customWidth="1" style="53" min="5" max="5"/>
    <col width="27.5" bestFit="1" customWidth="1" style="53" min="6" max="6"/>
    <col width="10.125" bestFit="1" customWidth="1" style="53" min="7" max="7"/>
    <col width="9.375" customWidth="1" style="53" min="8" max="8"/>
    <col width="65.375" customWidth="1" style="53" min="9" max="9"/>
    <col width="9.375" bestFit="1" customWidth="1" style="53" min="10" max="10"/>
    <col width="68" customWidth="1" style="53" min="11" max="11"/>
  </cols>
  <sheetData>
    <row r="1" ht="17.25" customHeight="1" s="53" thickBot="1"/>
    <row r="2">
      <c r="B2" s="21" t="inlineStr">
        <is>
          <t>라인</t>
        </is>
      </c>
      <c r="C2" s="22" t="inlineStr">
        <is>
          <t>표준</t>
        </is>
      </c>
      <c r="D2" s="22" t="inlineStr">
        <is>
          <t>38주</t>
        </is>
      </c>
      <c r="E2" s="54" t="n"/>
      <c r="F2" s="22" t="inlineStr">
        <is>
          <t>대응 전략</t>
        </is>
      </c>
      <c r="G2" s="55" t="n"/>
      <c r="H2" s="54" t="n"/>
      <c r="I2" s="23" t="inlineStr">
        <is>
          <t>검토 및 제약</t>
        </is>
      </c>
      <c r="J2" s="23" t="inlineStr">
        <is>
          <t>난이도</t>
        </is>
      </c>
      <c r="K2" s="56" t="inlineStr">
        <is>
          <t>제니엘 검토</t>
        </is>
      </c>
    </row>
    <row r="3">
      <c r="B3" s="57" t="n"/>
      <c r="C3" s="58" t="n"/>
      <c r="D3" s="26" t="inlineStr">
        <is>
          <t>오더</t>
        </is>
      </c>
      <c r="E3" s="26" t="inlineStr">
        <is>
          <t>Gap</t>
        </is>
      </c>
      <c r="F3" s="26" t="inlineStr">
        <is>
          <t>대안</t>
        </is>
      </c>
      <c r="G3" s="26" t="inlineStr">
        <is>
          <t>Capa</t>
        </is>
      </c>
      <c r="H3" s="26" t="inlineStr">
        <is>
          <t>필요 인원</t>
        </is>
      </c>
      <c r="I3" s="59" t="n"/>
      <c r="J3" s="59" t="n"/>
      <c r="K3" s="59" t="n"/>
    </row>
    <row r="4" ht="90" customHeight="1" s="53">
      <c r="B4" s="2" t="inlineStr">
        <is>
          <t>세정</t>
        </is>
      </c>
      <c r="C4" s="60" t="n">
        <v>730000</v>
      </c>
      <c r="D4" s="60" t="n">
        <v>932736</v>
      </c>
      <c r="E4" s="60">
        <f>D4-C4</f>
        <v/>
      </c>
      <c r="F4" s="46" t="inlineStr">
        <is>
          <t>1안)세정 2대 주야 맞교대</t>
        </is>
      </c>
      <c r="G4" s="61">
        <f>36*60*8*5*2</f>
        <v/>
      </c>
      <c r="H4" s="61" t="inlineStr">
        <is>
          <t>-</t>
        </is>
      </c>
      <c r="I4" s="35" t="inlineStr">
        <is>
          <t>① 지원인력: 업무도급 7명(창고2+로봇2+세척2+내용물1)
② 비용 증가(심야수당+잔업수당+심야특수검진)
③ 반제품 박스 세척 수량 부족 예상(일용 2명 충원 필요)</t>
        </is>
      </c>
      <c r="J4" s="36" t="inlineStr">
        <is>
          <t>High</t>
        </is>
      </c>
      <c r="K4" s="62" t="inlineStr">
        <is>
          <t>조건부 가능
① 여성 야간근로 개별 동의 필수 (근기법 §70②) — 미동의 발생 시 편성 재산정
② 야간작업 특수건강진단 배치 전 실시 — 소요기간 확보 필요
③ 심야·잔업수당 증가분 정산 반영 전제
④ 업무도급 7명 전용 시 창고·로봇·세척·내용물 업무 공백 대책 필요</t>
        </is>
      </c>
    </row>
    <row r="5" ht="75" customHeight="1" s="53">
      <c r="B5" s="5" t="n"/>
      <c r="C5" s="6" t="n"/>
      <c r="D5" s="6" t="n"/>
      <c r="E5" s="6" t="n"/>
      <c r="F5" s="49" t="inlineStr">
        <is>
          <t>2안)직선 1대 Full 잔특 추가</t>
        </is>
      </c>
      <c r="G5" s="63">
        <f>50*60*57</f>
        <v/>
      </c>
      <c r="H5" s="63" t="n">
        <v>6</v>
      </c>
      <c r="I5" s="33" t="inlineStr">
        <is>
          <t>① 가동 가능 품목 제한으로 최대 대응 수량↓
② 6명 추가 확보 필요
 1안)제니엘 타 사업장 인원 수배중
 2안)염모제 직구성7호+5호: 5명+1명, OP미지수</t>
        </is>
      </c>
      <c r="J5" s="34" t="inlineStr">
        <is>
          <t>Med</t>
        </is>
      </c>
      <c r="K5" s="62" t="inlineStr">
        <is>
          <t>조건부 가능
① 주 52시간 내 편성. 3개월 탄력근로 적용 시 취업규칙 및 근로자대표 서면합의 선행
② 6명 확보 경로 확정 필요 (타 사업장 수배 / 염모 직구성 전용)
③ 염모 가동 축소 범위 합의 필요</t>
        </is>
      </c>
    </row>
    <row r="6" ht="45" customHeight="1" s="53">
      <c r="B6" s="2" t="inlineStr">
        <is>
          <t>멀티</t>
        </is>
      </c>
      <c r="C6" s="64" t="n">
        <v>310000</v>
      </c>
      <c r="D6" s="64" t="n">
        <v>379000</v>
      </c>
      <c r="E6" s="65">
        <f>D6-C6</f>
        <v/>
      </c>
      <c r="F6" s="49" t="inlineStr">
        <is>
          <t>1안)소용량 아웃소싱</t>
        </is>
      </c>
      <c r="G6" s="66">
        <f>18*60*49.5</f>
        <v/>
      </c>
      <c r="H6" s="66" t="n">
        <v>0</v>
      </c>
      <c r="I6" s="33" t="inlineStr">
        <is>
          <t>하우뷰티/아우딘퓨처스 아웃소싱(업체 대응 가능 여부 확인 필요)</t>
        </is>
      </c>
      <c r="J6" s="34" t="inlineStr">
        <is>
          <t>Low</t>
        </is>
      </c>
      <c r="K6" s="67" t="inlineStr">
        <is>
          <t>확인 필요
도급계약상 재위탁(재하도급) 가능 여부 확인 선행. 계약 주체(AP / 제니엘)에 따라 품질·책임 범위가 달라짐</t>
        </is>
      </c>
    </row>
    <row r="7" ht="45" customHeight="1" s="53">
      <c r="B7" s="5" t="n"/>
      <c r="C7" s="10" t="n"/>
      <c r="D7" s="10" t="n"/>
      <c r="E7" s="10" t="n"/>
      <c r="F7" s="46" t="inlineStr">
        <is>
          <t>2안)멀티 7, 8호기 주야</t>
        </is>
      </c>
      <c r="G7" s="68">
        <f>32*60*11*5</f>
        <v/>
      </c>
      <c r="H7" s="68" t="n">
        <v>4</v>
      </c>
      <c r="I7" s="35" t="inlineStr">
        <is>
          <t>인원 필요: OP포함 4명 필요</t>
        </is>
      </c>
      <c r="J7" s="36" t="inlineStr">
        <is>
          <t>Med</t>
        </is>
      </c>
      <c r="K7" s="62" t="inlineStr">
        <is>
          <t>조건부 가능
세정 1안과 동일 (야간근로 동의 · 특수건강진단 · 수당 정산)
◆ 산식 32×60×11H×5일에 7·8호기 2대 반영 여부 확인 요청</t>
        </is>
      </c>
    </row>
    <row r="8" s="53">
      <c r="B8" s="12" t="inlineStr">
        <is>
          <t>세럼</t>
        </is>
      </c>
      <c r="C8" s="69">
        <f>60*49.5*60</f>
        <v/>
      </c>
      <c r="D8" s="69" t="n">
        <v>187910</v>
      </c>
      <c r="E8" s="70">
        <f>D8-C8</f>
        <v/>
      </c>
      <c r="F8" s="1" t="inlineStr">
        <is>
          <t>-</t>
        </is>
      </c>
      <c r="G8" s="11" t="n"/>
      <c r="H8" s="11" t="n"/>
      <c r="I8" s="14" t="inlineStr">
        <is>
          <t>포장재 이슈로 생산 불가</t>
        </is>
      </c>
      <c r="J8" s="30" t="inlineStr">
        <is>
          <t>-</t>
        </is>
      </c>
      <c r="K8" s="71" t="inlineStr">
        <is>
          <t>해당 없음 — 포장재 이슈 (AP 확인 사항)</t>
        </is>
      </c>
    </row>
    <row r="9" ht="30" customHeight="1" s="53">
      <c r="B9" s="12" t="inlineStr">
        <is>
          <t>리필</t>
        </is>
      </c>
      <c r="C9" s="69" t="n">
        <v>40000</v>
      </c>
      <c r="D9" s="69" t="n">
        <v>61228</v>
      </c>
      <c r="E9" s="69">
        <f>D9-C9</f>
        <v/>
      </c>
      <c r="F9" s="1" t="inlineStr">
        <is>
          <t>소Lot 품목 아웃소싱</t>
        </is>
      </c>
      <c r="G9" s="69" t="n">
        <v>21228</v>
      </c>
      <c r="H9" s="11" t="n"/>
      <c r="I9" s="4" t="inlineStr">
        <is>
          <t>리필 아웃소싱(2,000EA 소Lot) ▶ 윤지/이미인/린제이코스</t>
        </is>
      </c>
      <c r="J9" s="28" t="inlineStr">
        <is>
          <t>Low</t>
        </is>
      </c>
      <c r="K9" s="67" t="inlineStr">
        <is>
          <t>확인 필요
멀티 1안과 동일. 품질 책임 소재 명확화 필요</t>
        </is>
      </c>
    </row>
    <row r="10" ht="60" customHeight="1" s="53">
      <c r="B10" s="2" t="inlineStr">
        <is>
          <t>튜브</t>
        </is>
      </c>
      <c r="C10" s="69" t="n">
        <v>1280000</v>
      </c>
      <c r="D10" s="69" t="n">
        <v>1095000</v>
      </c>
      <c r="E10" s="69">
        <f>D10-C10</f>
        <v/>
      </c>
      <c r="F10" s="1" t="inlineStr">
        <is>
          <t>주간2교대+특근 1대 추가(4대)</t>
        </is>
      </c>
      <c r="G10" s="11" t="n"/>
      <c r="H10" s="11" t="n"/>
      <c r="I10" s="4" t="inlineStr">
        <is>
          <t>[38주 현 대응 가능하나, 39주 물량 당김으로 2Shift 반영]
① 9/14일부~2Shift 1대 추가로 주캐파 +8만개(+7%) 추가 확보 가능 
② 간접(주임) → 직접화 Full 근무</t>
        </is>
      </c>
      <c r="J10" s="28" t="inlineStr">
        <is>
          <t>진행예정</t>
        </is>
      </c>
      <c r="K10" s="62" t="inlineStr">
        <is>
          <t>진행 가능
단, '간접(주임) → 직접화'는 재검토 요청 — 도급 관리감독자 공백 발생. 대체 관리자 지정을 전제로만 가능
9/14 개시 시 야간 관련 요건(동의·특수건강진단) 역산 일정 확보 필요</t>
        </is>
      </c>
    </row>
    <row r="11" ht="60" customHeight="1" s="53">
      <c r="B11" s="29" t="n"/>
      <c r="C11" s="72" t="n"/>
      <c r="D11" s="73" t="n"/>
      <c r="E11" s="74" t="n"/>
      <c r="F11" s="1" t="inlineStr">
        <is>
          <t>주야 맞교대 운영</t>
        </is>
      </c>
      <c r="G11" s="40" t="n"/>
      <c r="H11" s="40" t="n"/>
      <c r="I11" s="41" t="inlineStr">
        <is>
          <t>① 주야 맞교대 운영 및 지원 인력(AP 자사 PM 지원)</t>
        </is>
      </c>
      <c r="J11" s="42" t="inlineStr">
        <is>
          <t>검토필요</t>
        </is>
      </c>
      <c r="K11" s="75" t="inlineStr">
        <is>
          <t>재검토 요청
원청 인력의 도급 라인 투입은 혼재작업으로 지휘명령 관계가 불분명해짐 (위장도급 판단의 핵심 징표). 라인 상주는 수용 곤란
설비 트러블 대응은 요청·처리 절차로 분리 운영 제안</t>
        </is>
      </c>
    </row>
    <row r="12" ht="45" customHeight="1" s="53" thickBot="1">
      <c r="B12" s="18" t="inlineStr">
        <is>
          <t>염모</t>
        </is>
      </c>
      <c r="C12" s="76" t="inlineStr">
        <is>
          <t>대응가능</t>
        </is>
      </c>
      <c r="D12" s="77" t="n"/>
      <c r="E12" s="78" t="n"/>
      <c r="F12" s="19" t="inlineStr">
        <is>
          <t>-</t>
        </is>
      </c>
      <c r="G12" s="19" t="n"/>
      <c r="H12" s="19" t="n"/>
      <c r="I12" s="20" t="inlineStr">
        <is>
          <t>세정 인원 확보 차원 소싱은 가능</t>
        </is>
      </c>
      <c r="J12" s="20" t="inlineStr">
        <is>
          <t>-</t>
        </is>
      </c>
      <c r="K12" s="79" t="inlineStr">
        <is>
          <t>가능
세정 전용 시 염모 가동 축소 범위 및 직구성 아웃소싱 품질(QC) 검토 결과와 연계하여 확정</t>
        </is>
      </c>
    </row>
    <row r="13">
      <c r="B13" s="43" t="n"/>
      <c r="D13" s="80" t="n"/>
    </row>
    <row r="14" ht="165" customHeight="1" s="53">
      <c r="B14" s="32" t="inlineStr">
        <is>
          <t>38주 292,960EA, Gap 수량 최대 가능 수량 +299,628EA, 최소 가능 수량 245,688EA</t>
        </is>
      </c>
      <c r="I14" s="52" t="inlineStr">
        <is>
          <t>표준Capa(주간)기준 준비 + 정상근무/2shift + Full근무 Capa + 전략에 따른 증가Capa</t>
        </is>
      </c>
      <c r="K14" s="81" t="inlineStr">
        <is>
          <t>[제니엘 검증] AP 제시 산식으로 재계산 — 표기값과 일치
· Gap 292,964 EA (세럼 9,710 제외)
· 최대안 299,628 = 172,800 + 105,600 + 21,228  →  +6,668 / 필요 13명
· 최소안 245,688 = 171,000 + 53,460 + 21,228  →  −47,272 / 필요 6명
▶ 최소안으로는 47,272 EA 미달. 09/01 제출한 충원 6명이 최소안에 해당하는 규모
▶ 산식 확인 요청: 세정 1안(36×60×8H×5일×2)은 1일 8시간 기준. '2대 주야'가 2라인×16H이면 345,600으로 2배가 되어 Gap 충족 판정이 바뀜</t>
        </is>
      </c>
    </row>
    <row r="15">
      <c r="B15" s="31" t="inlineStr">
        <is>
          <t>▶아웃소싱: 의미 있다면(인력 확보/대응 관점) 소싱 진행. 단, 38주 이후 운영도 고려</t>
        </is>
      </c>
    </row>
    <row r="16">
      <c r="B16" s="31" t="inlineStr">
        <is>
          <t xml:space="preserve">  - 염모제 직구성 아웃소싱 → 품질 관점 검토 후 가능 여부 판단(QC협조)</t>
        </is>
      </c>
    </row>
    <row r="17">
      <c r="B17" s="31" t="inlineStr">
        <is>
          <t xml:space="preserve">  - 37주 가능한 부분 있다면 빠르게 운영</t>
        </is>
      </c>
    </row>
    <row r="18">
      <c r="B18" s="31" t="inlineStr">
        <is>
          <t>▶ 세정 운영 2교대/직선 1대 추가 가능한 한 모두 적용</t>
        </is>
      </c>
    </row>
    <row r="19">
      <c r="B19" s="31" t="inlineStr">
        <is>
          <t xml:space="preserve">  - 간접 인원 부담으로, 교대 운영시 가능한 라인을 Full로 운영(Max 대수로 검토)</t>
        </is>
      </c>
    </row>
    <row r="20">
      <c r="B20" s="31" t="inlineStr">
        <is>
          <t>▶ 비용 증가는 후순위로 검토, 품질 검토는 필요</t>
        </is>
      </c>
    </row>
    <row r="21">
      <c r="B21" s="31" t="inlineStr">
        <is>
          <t>▶ 튜브 맞교대</t>
        </is>
      </c>
    </row>
    <row r="25">
      <c r="B25" s="45" t="inlineStr">
        <is>
          <t>MES Sys. 확보 : 공휴일 3일 + 직전 잔업 없이 종료</t>
        </is>
      </c>
    </row>
    <row r="26" s="53">
      <c r="B26" s="45" t="inlineStr">
        <is>
          <t xml:space="preserve"> 1안) 10월 2일 정상근무 3~5일 휴식 후 6일 오픈</t>
        </is>
      </c>
      <c r="K26" s="82" t="inlineStr">
        <is>
          <t>10/3(토) · 10/4(일) · 10/5(개천절 대체공휴일)</t>
        </is>
      </c>
    </row>
    <row r="27" s="53">
      <c r="B27" s="45" t="inlineStr">
        <is>
          <t xml:space="preserve"> 2안) 10월 8일 정상근무 9~11일  휴식 후 12일 오픈</t>
        </is>
      </c>
      <c r="K27" s="82" t="inlineStr">
        <is>
          <t>10/9(한글날) · 10/10(토) · 10/11(일)</t>
        </is>
      </c>
    </row>
    <row r="28" s="53">
      <c r="B28" s="45" t="inlineStr">
        <is>
          <t xml:space="preserve"> 3안) 9월 23일 정상근무 9월 24~26일 </t>
        </is>
      </c>
      <c r="K28" s="82" t="inlineStr">
        <is>
          <t>추석 연휴 활용 — 3개 안 중 근로시간 부담이 가장 적음  ▶ 권고</t>
        </is>
      </c>
    </row>
    <row r="29" ht="105" customHeight="1" s="53">
      <c r="B29" s="45" t="inlineStr">
        <is>
          <t>제니엘 검토 사항: ①10월 1,2주차 연속 특근 가능 여부 검토</t>
        </is>
      </c>
      <c r="K29" s="83" t="inlineStr">
        <is>
          <t>[회신] 조건부 가능
ⓐ 주 52시간 내 편성 — 3개월 탄력근로 서면합의 확인 선행
ⓑ 휴일근로 개별 동의 — 10/3 · 10/5 · 10/9는 관공서 공휴일(유급휴일)이며, 여성 근로자는 휴일근로에도 동의 필요
ⓒ 휴일근로 가산수당(8시간 이내 50% · 초과 100%) 증가분 정산 반영
▶ 추석(9/24~26) 직후 10월 1·2주 연속 특근 시 3주 연속 무휴 근로 — 안전·품질 리스크 상승. 3안(9/23) 우선 검토 권고</t>
        </is>
      </c>
    </row>
  </sheetData>
  <mergeCells count="8">
    <mergeCell ref="D2:E2"/>
    <mergeCell ref="K2:K3"/>
    <mergeCell ref="F2:H2"/>
    <mergeCell ref="B2:B3"/>
    <mergeCell ref="C2:C3"/>
    <mergeCell ref="C12:E12"/>
    <mergeCell ref="J2:J3"/>
    <mergeCell ref="I2:I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김상은/헤어앤뷰티 안전환경지원팀/Sunny Kim</dc:creator>
  <dcterms:created xsi:type="dcterms:W3CDTF">2026-09-01T07:43:33Z</dcterms:created>
  <dcterms:modified xsi:type="dcterms:W3CDTF">2026-09-01T14:54:14Z</dcterms:modified>
  <cp:lastModifiedBy>김상은/헤어앤뷰티 안전환경지원팀/Sunny Kim</cp:lastModifiedBy>
</cp:coreProperties>
</file>