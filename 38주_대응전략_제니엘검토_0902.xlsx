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0.0%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ta Buri KR Medium"/>
      <charset val="129"/>
      <family val="1"/>
      <color theme="1"/>
      <sz val="11"/>
    </font>
    <font>
      <name val="Arita Buri KR Medium"/>
      <charset val="129"/>
      <family val="1"/>
      <b val="1"/>
      <color theme="1"/>
      <sz val="11"/>
    </font>
    <font>
      <name val="Arita Buri KR Medium"/>
      <charset val="129"/>
      <family val="1"/>
      <color theme="1"/>
      <sz val="11"/>
      <u val="single"/>
    </font>
    <font>
      <name val="Arita Buri KR Medium"/>
      <charset val="129"/>
      <family val="1"/>
      <color theme="0" tint="-0.3499862666707358"/>
      <sz val="11"/>
    </font>
    <font>
      <name val="Arita Buri KR Medium"/>
      <b val="1"/>
      <color rgb="00FFFFFF"/>
      <sz val="11"/>
    </font>
    <font>
      <name val="Arita Buri KR Medium"/>
      <color rgb="00000000"/>
      <sz val="10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0F2438"/>
      </patternFill>
    </fill>
    <fill>
      <patternFill patternType="solid">
        <fgColor rgb="00FFF2CC"/>
      </patternFill>
    </fill>
    <fill>
      <patternFill patternType="solid">
        <fgColor rgb="00E8F1E6"/>
      </patternFill>
    </fill>
    <fill>
      <patternFill patternType="solid">
        <fgColor rgb="00F2F4F4"/>
      </patternFill>
    </fill>
    <fill>
      <patternFill patternType="solid">
        <fgColor rgb="00FCE4E4"/>
      </patternFill>
    </fill>
  </fills>
  <borders count="24">
    <border>
      <left/>
      <right/>
      <top/>
      <bottom/>
      <diagonal/>
    </border>
    <border>
      <left/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thin">
        <color theme="0" tint="-0.3499862666707358"/>
      </right>
      <top style="medium">
        <color theme="0" tint="-0.3499862666707358"/>
      </top>
      <bottom/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4" fontId="3" fillId="0" borderId="11" applyAlignment="1" pivotButton="0" quotePrefix="0" xfId="1">
      <alignment horizontal="center" vertical="center"/>
    </xf>
    <xf numFmtId="0" fontId="3" fillId="0" borderId="6" applyAlignment="1" pivotButton="0" quotePrefix="0" xfId="0">
      <alignment vertical="center" wrapText="1"/>
    </xf>
    <xf numFmtId="0" fontId="3" fillId="0" borderId="12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164" fontId="3" fillId="0" borderId="11" applyAlignment="1" pivotButton="0" quotePrefix="0" xfId="1">
      <alignment vertical="center"/>
    </xf>
    <xf numFmtId="164" fontId="3" fillId="0" borderId="11" applyAlignment="1" pivotButton="0" quotePrefix="0" xfId="0">
      <alignment vertical="center"/>
    </xf>
    <xf numFmtId="164" fontId="3" fillId="0" borderId="5" applyAlignment="1" pivotButton="0" quotePrefix="0" xfId="1">
      <alignment vertical="center"/>
    </xf>
    <xf numFmtId="0" fontId="3" fillId="0" borderId="13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164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0" borderId="9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3" borderId="6" applyAlignment="1" pivotButton="0" quotePrefix="0" xfId="0">
      <alignment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vertical="center" wrapText="1"/>
    </xf>
    <xf numFmtId="0" fontId="3" fillId="4" borderId="6" applyAlignment="1" pivotButton="0" quotePrefix="0" xfId="0">
      <alignment horizontal="center" vertical="center" wrapText="1"/>
    </xf>
    <xf numFmtId="164" fontId="3" fillId="0" borderId="15" applyAlignment="1" pivotButton="0" quotePrefix="0" xfId="1">
      <alignment vertical="center"/>
    </xf>
    <xf numFmtId="164" fontId="3" fillId="0" borderId="16" applyAlignment="1" pivotButton="0" quotePrefix="0" xfId="1">
      <alignment vertical="center"/>
    </xf>
    <xf numFmtId="164" fontId="3" fillId="0" borderId="10" applyAlignment="1" pivotButton="0" quotePrefix="0" xfId="1">
      <alignment vertical="center"/>
    </xf>
    <xf numFmtId="0" fontId="3" fillId="0" borderId="11" applyAlignment="1" pivotButton="0" quotePrefix="0" xfId="0">
      <alignment vertical="center"/>
    </xf>
    <xf numFmtId="0" fontId="3" fillId="0" borderId="15" applyAlignment="1" pivotButton="0" quotePrefix="0" xfId="0">
      <alignment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/>
    </xf>
    <xf numFmtId="165" fontId="0" fillId="0" borderId="0" applyAlignment="1" pivotButton="0" quotePrefix="0" xfId="2">
      <alignment vertical="center"/>
    </xf>
    <xf numFmtId="0" fontId="3" fillId="0" borderId="0" applyAlignment="1" pivotButton="0" quotePrefix="0" xfId="0">
      <alignment vertical="center"/>
    </xf>
    <xf numFmtId="0" fontId="3" fillId="4" borderId="5" applyAlignment="1" pivotButton="0" quotePrefix="0" xfId="0">
      <alignment horizontal="center" vertical="center"/>
    </xf>
    <xf numFmtId="164" fontId="3" fillId="4" borderId="5" applyAlignment="1" pivotButton="0" quotePrefix="0" xfId="1">
      <alignment horizontal="center" vertical="center"/>
    </xf>
    <xf numFmtId="164" fontId="3" fillId="4" borderId="5" applyAlignment="1" pivotButton="0" quotePrefix="0" xfId="1">
      <alignment vertical="center"/>
    </xf>
    <xf numFmtId="0" fontId="3" fillId="3" borderId="5" applyAlignment="1" pivotButton="0" quotePrefix="0" xfId="0">
      <alignment horizontal="center" vertical="center"/>
    </xf>
    <xf numFmtId="164" fontId="3" fillId="3" borderId="5" applyAlignment="1" pivotButton="0" quotePrefix="0" xfId="1">
      <alignment horizontal="center" vertical="center"/>
    </xf>
    <xf numFmtId="164" fontId="3" fillId="3" borderId="5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23" pivotButton="0" quotePrefix="0" xfId="0"/>
    <xf numFmtId="0" fontId="7" fillId="5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0" pivotButton="0" quotePrefix="0" xfId="0"/>
    <xf numFmtId="164" fontId="3" fillId="0" borderId="11" applyAlignment="1" pivotButton="0" quotePrefix="0" xfId="1">
      <alignment horizontal="center" vertical="center"/>
    </xf>
    <xf numFmtId="164" fontId="3" fillId="4" borderId="5" applyAlignment="1" pivotButton="0" quotePrefix="0" xfId="1">
      <alignment horizontal="center" vertical="center"/>
    </xf>
    <xf numFmtId="0" fontId="8" fillId="6" borderId="6" applyAlignment="1" pivotButton="0" quotePrefix="0" xfId="0">
      <alignment horizontal="left" vertical="center" wrapText="1" indent="1"/>
    </xf>
    <xf numFmtId="164" fontId="3" fillId="3" borderId="5" applyAlignment="1" pivotButton="0" quotePrefix="0" xfId="1">
      <alignment horizontal="center" vertical="center"/>
    </xf>
    <xf numFmtId="0" fontId="8" fillId="7" borderId="6" applyAlignment="1" pivotButton="0" quotePrefix="0" xfId="0">
      <alignment horizontal="left" vertical="center" wrapText="1" indent="1"/>
    </xf>
    <xf numFmtId="164" fontId="3" fillId="0" borderId="11" applyAlignment="1" pivotButton="0" quotePrefix="0" xfId="1">
      <alignment vertical="center"/>
    </xf>
    <xf numFmtId="164" fontId="3" fillId="0" borderId="11" applyAlignment="1" pivotButton="0" quotePrefix="0" xfId="0">
      <alignment vertical="center"/>
    </xf>
    <xf numFmtId="164" fontId="3" fillId="3" borderId="5" applyAlignment="1" pivotButton="0" quotePrefix="0" xfId="1">
      <alignment vertical="center"/>
    </xf>
    <xf numFmtId="0" fontId="8" fillId="8" borderId="6" applyAlignment="1" pivotButton="0" quotePrefix="0" xfId="0">
      <alignment horizontal="left" vertical="center" wrapText="1" indent="1"/>
    </xf>
    <xf numFmtId="164" fontId="3" fillId="4" borderId="5" applyAlignment="1" pivotButton="0" quotePrefix="0" xfId="1">
      <alignment vertical="center"/>
    </xf>
    <xf numFmtId="164" fontId="3" fillId="0" borderId="5" applyAlignment="1" pivotButton="0" quotePrefix="0" xfId="1">
      <alignment vertical="center"/>
    </xf>
    <xf numFmtId="164" fontId="3" fillId="0" borderId="5" applyAlignment="1" pivotButton="0" quotePrefix="0" xfId="0">
      <alignment vertical="center"/>
    </xf>
    <xf numFmtId="0" fontId="8" fillId="0" borderId="6" applyAlignment="1" pivotButton="0" quotePrefix="0" xfId="0">
      <alignment horizontal="left" vertical="center" wrapText="1" indent="1"/>
    </xf>
    <xf numFmtId="164" fontId="3" fillId="0" borderId="15" applyAlignment="1" pivotButton="0" quotePrefix="0" xfId="1">
      <alignment vertical="center"/>
    </xf>
    <xf numFmtId="164" fontId="3" fillId="0" borderId="16" applyAlignment="1" pivotButton="0" quotePrefix="0" xfId="1">
      <alignment vertical="center"/>
    </xf>
    <xf numFmtId="164" fontId="3" fillId="0" borderId="10" applyAlignment="1" pivotButton="0" quotePrefix="0" xfId="1">
      <alignment vertical="center"/>
    </xf>
    <xf numFmtId="0" fontId="8" fillId="9" borderId="15" applyAlignment="1" pivotButton="0" quotePrefix="0" xfId="0">
      <alignment horizontal="left" vertical="center" wrapText="1" indent="1"/>
    </xf>
    <xf numFmtId="0" fontId="3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7" pivotButton="0" quotePrefix="0" xfId="0"/>
    <xf numFmtId="0" fontId="8" fillId="7" borderId="9" applyAlignment="1" pivotButton="0" quotePrefix="0" xfId="0">
      <alignment horizontal="left" vertical="center" wrapText="1" indent="1"/>
    </xf>
    <xf numFmtId="165" fontId="0" fillId="0" borderId="0" applyAlignment="1" pivotButton="0" quotePrefix="0" xfId="2">
      <alignment vertical="center"/>
    </xf>
    <xf numFmtId="0" fontId="8" fillId="8" borderId="0" applyAlignment="1" pivotButton="0" quotePrefix="0" xfId="0">
      <alignment horizontal="left" vertical="center" wrapText="1" indent="1"/>
    </xf>
    <xf numFmtId="0" fontId="8" fillId="9" borderId="0" applyAlignment="1" pivotButton="0" quotePrefix="0" xfId="0">
      <alignment horizontal="left" vertical="center" wrapText="1" indent="1"/>
    </xf>
    <xf numFmtId="0" fontId="8" fillId="7" borderId="0" applyAlignment="1" pivotButton="0" quotePrefix="0" xfId="0">
      <alignment horizontal="left" vertical="center" wrapText="1" indent="1"/>
    </xf>
    <xf numFmtId="0" fontId="8" fillId="6" borderId="0" applyAlignment="1" pivotButton="0" quotePrefix="0" xfId="0">
      <alignment horizontal="left" vertical="center" wrapText="1" indent="1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tabSelected="1" zoomScale="130" zoomScaleNormal="130" workbookViewId="0">
      <selection activeCell="I15" sqref="I15"/>
    </sheetView>
  </sheetViews>
  <sheetFormatPr baseColWidth="8" defaultRowHeight="16.5"/>
  <cols>
    <col width="2.625" customWidth="1" style="53" min="1" max="1"/>
    <col width="10.375" bestFit="1" customWidth="1" style="53" min="2" max="2"/>
    <col width="12.875" bestFit="1" customWidth="1" style="53" min="3" max="3"/>
    <col width="11.75" bestFit="1" customWidth="1" style="53" min="4" max="4"/>
    <col width="10.25" bestFit="1" customWidth="1" style="53" min="5" max="5"/>
    <col width="27.5" bestFit="1" customWidth="1" style="53" min="6" max="6"/>
    <col width="10.125" bestFit="1" customWidth="1" style="53" min="7" max="7"/>
    <col width="9.375" customWidth="1" style="53" min="8" max="8"/>
    <col width="65.375" customWidth="1" style="53" min="9" max="9"/>
    <col width="9.375" bestFit="1" customWidth="1" style="53" min="10" max="10"/>
    <col width="70" customWidth="1" style="53" min="11" max="11"/>
  </cols>
  <sheetData>
    <row r="1" ht="17.25" customHeight="1" s="53" thickBot="1"/>
    <row r="2">
      <c r="B2" s="21" t="inlineStr">
        <is>
          <t>라인</t>
        </is>
      </c>
      <c r="C2" s="22" t="inlineStr">
        <is>
          <t>표준</t>
        </is>
      </c>
      <c r="D2" s="22" t="inlineStr">
        <is>
          <t>38주</t>
        </is>
      </c>
      <c r="E2" s="54" t="n"/>
      <c r="F2" s="22" t="inlineStr">
        <is>
          <t>대응 전략</t>
        </is>
      </c>
      <c r="G2" s="55" t="n"/>
      <c r="H2" s="54" t="n"/>
      <c r="I2" s="23" t="inlineStr">
        <is>
          <t>검토 및 제약</t>
        </is>
      </c>
      <c r="J2" s="23" t="inlineStr">
        <is>
          <t>난이도</t>
        </is>
      </c>
      <c r="K2" s="56" t="inlineStr">
        <is>
          <t>제니엘 검토 (2026.09.02)</t>
        </is>
      </c>
    </row>
    <row r="3">
      <c r="B3" s="57" t="n"/>
      <c r="C3" s="58" t="n"/>
      <c r="D3" s="26" t="inlineStr">
        <is>
          <t>오더</t>
        </is>
      </c>
      <c r="E3" s="26" t="inlineStr">
        <is>
          <t>Gap</t>
        </is>
      </c>
      <c r="F3" s="26" t="inlineStr">
        <is>
          <t>대안</t>
        </is>
      </c>
      <c r="G3" s="26" t="inlineStr">
        <is>
          <t>Capa</t>
        </is>
      </c>
      <c r="H3" s="26" t="inlineStr">
        <is>
          <t>필요 인원</t>
        </is>
      </c>
      <c r="I3" s="59" t="n"/>
      <c r="J3" s="59" t="n"/>
      <c r="K3" s="59" t="n"/>
    </row>
    <row r="4" ht="130.5" customHeight="1" s="53">
      <c r="B4" s="2" t="inlineStr">
        <is>
          <t>세정</t>
        </is>
      </c>
      <c r="C4" s="60" t="n">
        <v>730000</v>
      </c>
      <c r="D4" s="60" t="n">
        <v>932736</v>
      </c>
      <c r="E4" s="60">
        <f>D4-C4</f>
        <v/>
      </c>
      <c r="F4" s="46" t="inlineStr">
        <is>
          <t>1안)세정 2대 주야 맞교대</t>
        </is>
      </c>
      <c r="G4" s="61">
        <f>36*60*8*5*2</f>
        <v/>
      </c>
      <c r="H4" s="61" t="inlineStr">
        <is>
          <t>-</t>
        </is>
      </c>
      <c r="I4" s="35" t="inlineStr">
        <is>
          <t>① 지원인력: 업무도급 7명(창고2+로봇2+세척2+내용물1)
② 비용 증가(심야수당+잔업수당+심야특수검진)
③ 반제품 박스 세척 수량 부족 예상(일용 2명 충원 필요)</t>
        </is>
      </c>
      <c r="J4" s="36" t="inlineStr">
        <is>
          <t>High</t>
        </is>
      </c>
      <c r="K4" s="62" t="inlineStr">
        <is>
          <t>조건부 가능 — 근로시간이 아니라 인원 문제
① 주야 2조를 각 8H 소정근로로 편성하면 연장근로 미발생 → 3개월 한도(156H)와 무관
② 실제 제약: 여성 야간근로 개별 동의(근기법 §70②) · 야간작업 특수건강진단 · 심야수당 50%
③ 지원 7명 차출 후 원 소속 공백을 잔업으로 메우면 그때 한도 적용 — 9월 잔여 인당 창고 100H · 로봇(적재실) 101H · 내용물 69H는 여유, 세척 59H가 병목(세척실 4명 잔여 30H 미만)
④ 반제품 박스 세척용 일용 2명은 별도 확보 필요</t>
        </is>
      </c>
    </row>
    <row r="5" ht="116" customHeight="1" s="53">
      <c r="B5" s="5" t="n"/>
      <c r="C5" s="6" t="n"/>
      <c r="D5" s="6" t="n"/>
      <c r="E5" s="6" t="n"/>
      <c r="F5" s="49" t="inlineStr">
        <is>
          <t>2안)직선 1대 Full 잔특 추가</t>
        </is>
      </c>
      <c r="G5" s="63">
        <f>50*60*57</f>
        <v/>
      </c>
      <c r="H5" s="63" t="n">
        <v>6</v>
      </c>
      <c r="I5" s="33" t="inlineStr">
        <is>
          <t>① 가동 가능 품목 제한으로 최대 대응 수량↓
② 6명 추가 확보 필요
 1안)제니엘 타 사업장 인원 수배중
 2안)염모제 직구성7호+5호: 5명+1명, OP미지수</t>
        </is>
      </c>
      <c r="J5" s="34" t="inlineStr">
        <is>
          <t>Med</t>
        </is>
      </c>
      <c r="K5" s="64" t="inlineStr">
        <is>
          <t>가능
① 순수 잔업·특근이므로 9월 잔여에 직결. 직선 24명 1,902H(인당 79H) · 염모 27명 3,712H(인당 138H, 잔여 부족 0명)로 여력 확보
② 염모 직구성 7·5호 전용이 근로시간 관점에서도 최적 — 전 공정 중 소진율 최저
③ 6명 확보 경로(타 사업장 수배 / 염모 전용) 확정 및 염모 가동 축소 범위 합의 필요</t>
        </is>
      </c>
    </row>
    <row r="6" ht="43.5" customHeight="1" s="53">
      <c r="B6" s="2" t="inlineStr">
        <is>
          <t>멀티</t>
        </is>
      </c>
      <c r="C6" s="65" t="n">
        <v>310000</v>
      </c>
      <c r="D6" s="65" t="n">
        <v>379000</v>
      </c>
      <c r="E6" s="66">
        <f>D6-C6</f>
        <v/>
      </c>
      <c r="F6" s="49" t="inlineStr">
        <is>
          <t>1안)소용량 아웃소싱</t>
        </is>
      </c>
      <c r="G6" s="67">
        <f>18*60*49.5</f>
        <v/>
      </c>
      <c r="H6" s="67" t="n">
        <v>0</v>
      </c>
      <c r="I6" s="33" t="inlineStr">
        <is>
          <t>하우뷰티/아우딘퓨처스 아웃소싱(업체 대응 가능 여부 확인 필요)</t>
        </is>
      </c>
      <c r="J6" s="34" t="inlineStr">
        <is>
          <t>Low</t>
        </is>
      </c>
      <c r="K6" s="68" t="inlineStr">
        <is>
          <t>확인 필요
도급계약상 재위탁(재하도급) 가능 여부 확인 선행. 계약 주체(AP / 제니엘)에 따라 품질·책임 범위 상이</t>
        </is>
      </c>
    </row>
    <row r="7" ht="101.5" customHeight="1" s="53">
      <c r="B7" s="5" t="n"/>
      <c r="C7" s="10" t="n"/>
      <c r="D7" s="10" t="n"/>
      <c r="E7" s="10" t="n"/>
      <c r="F7" s="46" t="inlineStr">
        <is>
          <t>2안)멀티 7, 8호기 주야</t>
        </is>
      </c>
      <c r="G7" s="69">
        <f>32*60*11*5</f>
        <v/>
      </c>
      <c r="H7" s="69" t="n">
        <v>4</v>
      </c>
      <c r="I7" s="35" t="inlineStr">
        <is>
          <t>인원 필요: OP포함 4명 필요</t>
        </is>
      </c>
      <c r="J7" s="36" t="inlineStr">
        <is>
          <t>Med</t>
        </is>
      </c>
      <c r="K7" s="62" t="inlineStr">
        <is>
          <t>조건부 가능 — 세정 1안과 동일 구조
① 별도 조 편성이면 근로시간 한도 무관. 야간 요건(동의·검진·수당)은 동일 적용
② 기존 인원에 잔업으로 부가할 경우 멀티 20명 9월 잔여 1,631H(인당 82H), 잔여 50H 미만 4명(김해경 23H·이차영 41H·곽옥연 44H·김선희 46H) 제외 편성
③ 산식 32×60×11H×5일에 7·8호기 2대 반영 여부 확인 요청</t>
        </is>
      </c>
    </row>
    <row r="8" s="53">
      <c r="B8" s="12" t="inlineStr">
        <is>
          <t>세럼</t>
        </is>
      </c>
      <c r="C8" s="70">
        <f>60*49.5*60</f>
        <v/>
      </c>
      <c r="D8" s="70" t="n">
        <v>187910</v>
      </c>
      <c r="E8" s="71">
        <f>D8-C8</f>
        <v/>
      </c>
      <c r="F8" s="1" t="inlineStr">
        <is>
          <t>-</t>
        </is>
      </c>
      <c r="G8" s="11" t="n"/>
      <c r="H8" s="11" t="n"/>
      <c r="I8" s="14" t="inlineStr">
        <is>
          <t>포장재 이슈로 생산 불가</t>
        </is>
      </c>
      <c r="J8" s="30" t="inlineStr">
        <is>
          <t>-</t>
        </is>
      </c>
      <c r="K8" s="72" t="inlineStr">
        <is>
          <t>해당 없음 — 포장재 이슈 (AP 확인 사항)</t>
        </is>
      </c>
    </row>
    <row r="9" s="53">
      <c r="B9" s="12" t="inlineStr">
        <is>
          <t>리필</t>
        </is>
      </c>
      <c r="C9" s="70" t="n">
        <v>40000</v>
      </c>
      <c r="D9" s="70" t="n">
        <v>61228</v>
      </c>
      <c r="E9" s="70">
        <f>D9-C9</f>
        <v/>
      </c>
      <c r="F9" s="1" t="inlineStr">
        <is>
          <t>소Lot 품목 아웃소싱</t>
        </is>
      </c>
      <c r="G9" s="70" t="n">
        <v>21228</v>
      </c>
      <c r="H9" s="11" t="n"/>
      <c r="I9" s="4" t="inlineStr">
        <is>
          <t>리필 아웃소싱(2,000EA 소Lot) ▶ 윤지/이미인/린제이코스</t>
        </is>
      </c>
      <c r="J9" s="28" t="inlineStr">
        <is>
          <t>Low</t>
        </is>
      </c>
      <c r="K9" s="68" t="inlineStr">
        <is>
          <t>확인 필요 — 멀티 1안과 동일. 품질 책임 소재 명확화 필요</t>
        </is>
      </c>
    </row>
    <row r="10" ht="116" customHeight="1" s="53">
      <c r="B10" s="2" t="inlineStr">
        <is>
          <t>튜브</t>
        </is>
      </c>
      <c r="C10" s="70" t="n">
        <v>1280000</v>
      </c>
      <c r="D10" s="70" t="n">
        <v>1095000</v>
      </c>
      <c r="E10" s="70">
        <f>D10-C10</f>
        <v/>
      </c>
      <c r="F10" s="1" t="inlineStr">
        <is>
          <t>주간2교대+특근 1대 추가(4대)</t>
        </is>
      </c>
      <c r="G10" s="11" t="n"/>
      <c r="H10" s="11" t="n"/>
      <c r="I10" s="4" t="inlineStr">
        <is>
          <t>[38주 현 대응 가능하나, 39주 물량 당김으로 2Shift 반영]
① 9/14일부~2Shift 1대 추가로 주캐파 +8만개(+7%) 추가 확보 가능 
② 간접(주임) → 직접화 Full 근무</t>
        </is>
      </c>
      <c r="J10" s="28" t="inlineStr">
        <is>
          <t>진행예정</t>
        </is>
      </c>
      <c r="K10" s="64" t="inlineStr">
        <is>
          <t>진행 가능
① 튜브 17명 9월 잔여 1,287H(인당 76H) — 편성 여력 있음. 잔여 부족 2명(최명필 21H·김진만 24H) 제외
② 단, '간접(주임) → 직접화'는 불가 — 도급 관리감독자 공백(적법성)에 더해 주임 3명 9월 잔여 74H(인당 25H)로 전 직책 최저, 근로시간 여력도 없음. 대체 관리자 지정 전제
③ 9/14 개시 시 야간 요건(여성 동의 · 특수건강진단) 소요기간 역산 필요</t>
        </is>
      </c>
    </row>
    <row r="11" ht="72.5" customHeight="1" s="53">
      <c r="B11" s="29" t="n"/>
      <c r="C11" s="73" t="n"/>
      <c r="D11" s="74" t="n"/>
      <c r="E11" s="75" t="n"/>
      <c r="F11" s="1" t="inlineStr">
        <is>
          <t>주야 맞교대 운영</t>
        </is>
      </c>
      <c r="G11" s="40" t="n"/>
      <c r="H11" s="40" t="n"/>
      <c r="I11" s="41" t="inlineStr">
        <is>
          <t>① 주야 맞교대 운영 및 지원 인력(AP 자사 PM 지원)</t>
        </is>
      </c>
      <c r="J11" s="42" t="inlineStr">
        <is>
          <t>검토필요</t>
        </is>
      </c>
      <c r="K11" s="76" t="inlineStr">
        <is>
          <t>재검토 요청
① 원청 인력의 도급 라인 투입은 혼재작업으로 지휘명령 관계가 불분명해짐 (위장도급 판단의 핵심 징표). 라인 상주는 수용 곤란
② 설비 트러블 대응은 요청·처리 절차로 분리 운영 제안
③ 주야 맞교대 자체는 별도 조 편성 시 근로시간 한도와 무관</t>
        </is>
      </c>
    </row>
    <row r="12" ht="58" customHeight="1" s="53" thickBot="1">
      <c r="B12" s="18" t="inlineStr">
        <is>
          <t>염모</t>
        </is>
      </c>
      <c r="C12" s="77" t="inlineStr">
        <is>
          <t>대응가능</t>
        </is>
      </c>
      <c r="D12" s="78" t="n"/>
      <c r="E12" s="79" t="n"/>
      <c r="F12" s="19" t="inlineStr">
        <is>
          <t>-</t>
        </is>
      </c>
      <c r="G12" s="19" t="n"/>
      <c r="H12" s="19" t="n"/>
      <c r="I12" s="20" t="inlineStr">
        <is>
          <t>세정 인원 확보 차원 소싱은 가능</t>
        </is>
      </c>
      <c r="J12" s="20" t="inlineStr">
        <is>
          <t>-</t>
        </is>
      </c>
      <c r="K12" s="80" t="inlineStr">
        <is>
          <t>가능
염모 27명 9월 잔여 3,712H(인당 138H)로 전 공정 최대. 세정 인력 소싱의 최적 자원.
직구성 아웃소싱은 QC 검토 결과와 연계하여 확정</t>
        </is>
      </c>
    </row>
    <row r="13">
      <c r="B13" s="43" t="n"/>
      <c r="D13" s="81" t="n"/>
    </row>
    <row r="14" ht="333.5" customHeight="1" s="53">
      <c r="B14" s="32" t="inlineStr">
        <is>
          <t>38주 292,960EA, Gap 수량 최대 가능 수량 +299,628EA, 최소 가능 수량 245,688EA</t>
        </is>
      </c>
      <c r="I14" s="52" t="inlineStr">
        <is>
          <t>표준Capa(주간)기준 준비 + 정상근무/2shift + Full근무 Capa + 전략에 따른 증가Capa</t>
        </is>
      </c>
      <c r="K14" s="82" t="inlineStr">
        <is>
          <t>[캐파 검증] AP 제시 산식으로 재계산 — 표기값과 일치
· Gap 292,964 EA (세럼 9,710 제외)
· 최대안 299,628 = 172,800 + 105,600 + 21,228  →  +6,668 / 필요 13명
· 최소안 245,688 = 171,000 + 53,460 + 21,228  →  −47,272 / 필요 6명
▶ 최소안으로는 47,272 EA 미달. 09/01 제출한 충원 6명이 최소안에 해당하는 규모
▶ 산식 확인 요청: 세정 1안(36×60×8H×5일×2)은 1일 8시간 기준. '2대 주야'가 2라인×16H이면 345,600으로 2배가 되어 Gap 충족 판정이 바뀜
[근로시간 상한] 3개월 탄력근로 현 단위기간 7·8·9월 · 한도 156H(12H/주 × 13주)
· 7·8월 소진 인당 60H(한도의 38%) → 9월 잔여 전사 23,032H · 인당 96H
· 9월을 8월 수준 풀 특근으로 재현하면 38명이 156H 초과 — 전사 요구 6,707H 중 5,268H(79%)만 편성 가능, 1,438H 부족
· 초과 편중 공정: 세척실 6/14명(518H) · 주임 3/3명 · HnB 3/5명 — 이 3개는 공정 내 재배분 불가
· 잔여 0H 4명(김영두·박태근·이세호·문석) 9월 시간외 전면 제외
▶ 9월 토요특근은 3회(9/5·12·19, 인당 24H)까지가 권장 상한 (9/26은 추석연휴)</t>
        </is>
      </c>
    </row>
    <row r="15">
      <c r="B15" s="31" t="inlineStr">
        <is>
          <t>▶아웃소싱: 의미 있다면(인력 확보/대응 관점) 소싱 진행. 단, 38주 이후 운영도 고려</t>
        </is>
      </c>
    </row>
    <row r="16">
      <c r="B16" s="31" t="inlineStr">
        <is>
          <t xml:space="preserve">  - 염모제 직구성 아웃소싱 → 품질 관점 검토 후 가능 여부 판단(QC협조)</t>
        </is>
      </c>
    </row>
    <row r="17">
      <c r="B17" s="31" t="inlineStr">
        <is>
          <t xml:space="preserve">  - 37주 가능한 부분 있다면 빠르게 운영</t>
        </is>
      </c>
    </row>
    <row r="18">
      <c r="B18" s="31" t="inlineStr">
        <is>
          <t>▶ 세정 운영 2교대/직선 1대 추가 가능한 한 모두 적용</t>
        </is>
      </c>
    </row>
    <row r="19">
      <c r="B19" s="31" t="inlineStr">
        <is>
          <t xml:space="preserve">  - 간접 인원 부담으로, 교대 운영시 가능한 라인을 Full로 운영(Max 대수로 검토)</t>
        </is>
      </c>
    </row>
    <row r="20">
      <c r="B20" s="31" t="inlineStr">
        <is>
          <t>▶ 비용 증가는 후순위로 검토, 품질 검토는 필요</t>
        </is>
      </c>
    </row>
    <row r="21">
      <c r="B21" s="31" t="inlineStr">
        <is>
          <t>▶ 튜브 맞교대</t>
        </is>
      </c>
    </row>
    <row r="25">
      <c r="B25" s="45" t="inlineStr">
        <is>
          <t>MES Sys. 확보 : 공휴일 3일 + 직전 잔업 없이 종료</t>
        </is>
      </c>
    </row>
    <row r="26" ht="43.5" customHeight="1" s="53">
      <c r="B26" s="45" t="inlineStr">
        <is>
          <t xml:space="preserve"> 1안) 10월 2일 정상근무 3~5일 휴식 후 6일 오픈</t>
        </is>
      </c>
      <c r="K26" s="83" t="inlineStr">
        <is>
          <t>10/3(토) · 10/4(일) · 10/5(개천절 대체공휴일)
◀ 10월 1주차 특근일(10/3)을 잠금 — 'MES 확보'와 '10월 1·2주 연속 특근'이 상충</t>
        </is>
      </c>
    </row>
    <row r="27" ht="29" customHeight="1" s="53">
      <c r="B27" s="45" t="inlineStr">
        <is>
          <t xml:space="preserve"> 2안) 10월 8일 정상근무 9~11일  휴식 후 12일 오픈</t>
        </is>
      </c>
      <c r="K27" s="83" t="inlineStr">
        <is>
          <t>10/9(한글날) · 10/10(토) · 10/11(일)
◀ 10월 2주차 특근일(10/10)을 잠금 — 동일하게 상충</t>
        </is>
      </c>
    </row>
    <row r="28" ht="43.5" customHeight="1" s="53">
      <c r="B28" s="45" t="inlineStr">
        <is>
          <t xml:space="preserve"> 3안) 9월 23일 정상근무 9월 24~26일 </t>
        </is>
      </c>
      <c r="K28" s="84" t="inlineStr">
        <is>
          <t>추석 연휴(9/24~26) 활용 — 10월 토요일을 하나도 잠그지 않는 유일한 안
▶ 제니엘 권고안</t>
        </is>
      </c>
    </row>
    <row r="29" ht="478.5" customHeight="1" s="53">
      <c r="B29" s="45" t="inlineStr">
        <is>
          <t>제니엘 검토 사항: ①10월 1,2주차 연속 특근 가능 여부 검토</t>
        </is>
      </c>
      <c r="K29" s="85" t="inlineStr">
        <is>
          <t>[회신] 10월 '주 12H 연장 + 토특근 8H' — 문언 그대로는 위법, 총량은 적법 확보 가능
① 근기법 §53의 주 12H 연장 한도에는 휴일근로가 포함된다. 따라서 '평일 12H + 토특근 8H = 주 20H'는 한도를 8H 초과 — 어떤 절차로도 이 형태로는 편성 불가
② 10월은 유급휴일 3일(10/3 개천절 토 · 10/5 대체 · 10/9 한글날)로 평일 소정이 20일뿐이고, 1·2주 실근무 평일이 각 2일·3일이라 평일 잔업 흡수 여력이 구조적으로 없다
[대안 — 인당 10월 총 근무시간 기준, 요구 기준선 256H]
· ①안 220H (즉시 가능) : 토특근 8H + 평일 연장 4H = 주 12H. 절차 불필요, 요구 대비 14% 부족
· ③안 236H (서면합의) : 토 2회를 소정근로일 편입(16H) + 연장 60H. 소정 여유 21.7H 범위 내라 11·12월 영향 없음. 요구 대비 8% 부족
· ④안 256H (서면합의) : 토 5회 전부 소정화(40H) + 평일 연장 56H. 요구 총량을 정확히 충족하는 유일한 적법안. 대가는 소정 초과 18.3H만큼 11·12월 평일 2~3일을 비근무일로 지정하는 것(임금 손실 없음)
▶ ③·④안은 10·11·12월 단위기간이 시작되기 전, 즉 9월 중 근로자대표 서면합의와 근무표 사전 확정이 전제(§51②)
▶ 10~12월 확정 오더 물량을 받아야 ①/③/④ 중 선택 가능 — 물량 회신 요청
[부대 확인]
· 연장으로 처리하는 특근일이 유급휴일과 겹치면 휴일근로 가산(8H 이내 50% · 초과 100%) 및 여성 근로자 개별 동의 필요. 소정근로일로 편입하면 가산은 없어지나 근로자 동의가 더 무겁다
· ◀ 상충 확정 요청: '10월 1·2주 연속 특근'과 MES 1안·2안은 양립 불가. 3안(9/23)만 양립
· 추석(9/24~26) 직후 10월 1·2주까지 연속 특근 시 3주 연속 무휴 — 안전·품질 리스크
· 9월과 10월은 단위기간이 달라 156H가 리셋된다. 9월 초과 38명도 10월에는 전원 편성 가능</t>
        </is>
      </c>
    </row>
  </sheetData>
  <mergeCells count="8">
    <mergeCell ref="D2:E2"/>
    <mergeCell ref="K2:K3"/>
    <mergeCell ref="F2:H2"/>
    <mergeCell ref="B2:B3"/>
    <mergeCell ref="C2:C3"/>
    <mergeCell ref="C12:E12"/>
    <mergeCell ref="J2:J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김상은/헤어앤뷰티 안전환경지원팀/Sunny Kim</dc:creator>
  <dcterms:created xsi:type="dcterms:W3CDTF">2026-09-01T07:43:33Z</dcterms:created>
  <dcterms:modified xsi:type="dcterms:W3CDTF">2026-09-02T06:15:55Z</dcterms:modified>
  <cp:lastModifiedBy>김상은/헤어앤뷰티 안전환경지원팀/Sunny Kim</cp:lastModifiedBy>
</cp:coreProperties>
</file>