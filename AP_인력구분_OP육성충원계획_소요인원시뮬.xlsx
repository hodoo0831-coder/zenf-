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요약" sheetId="1" state="visible" r:id="rId1"/>
    <sheet name="1.인원구분현황" sheetId="2" state="visible" r:id="rId2"/>
    <sheet name="2.OP육성전환계획" sheetId="3" state="visible" r:id="rId3"/>
    <sheet name="3.월별인원추이" sheetId="4" state="visible" r:id="rId4"/>
    <sheet name="4.소요인원시뮬" sheetId="5" state="visible" r:id="rId5"/>
    <sheet name="5.단기대응현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7F7F7F"/>
      <sz val="9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7F7F7F"/>
      <sz val="9"/>
    </font>
    <font>
      <name val="맑은 고딕"/>
      <color rgb="000000FF"/>
      <sz val="10"/>
    </font>
    <font>
      <name val="맑은 고딕"/>
      <color rgb="00C00000"/>
      <sz val="9"/>
    </font>
    <font>
      <name val="맑은 고딕"/>
      <i val="1"/>
      <color rgb="00C00000"/>
      <sz val="9"/>
    </font>
    <font>
      <name val="맑은 고딕"/>
      <b val="1"/>
      <color rgb="00C00000"/>
      <sz val="9"/>
    </font>
    <font>
      <name val="맑은 고딕"/>
      <b val="1"/>
      <color rgb="000F2438"/>
      <sz val="11"/>
    </font>
    <font>
      <name val="맑은 고딕"/>
      <b val="1"/>
      <color rgb="00C00000"/>
      <sz val="10"/>
    </font>
    <font>
      <name val="맑은 고딕"/>
      <b val="1"/>
      <color rgb="000F2438"/>
      <sz val="10"/>
    </font>
    <font>
      <name val="맑은 고딕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0F2438"/>
      </patternFill>
    </fill>
    <fill>
      <patternFill patternType="solid">
        <fgColor rgb="005B7F52"/>
      </patternFill>
    </fill>
    <fill>
      <patternFill patternType="solid">
        <fgColor rgb="00EEF1F1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3" fontId="8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5" fillId="4" borderId="1" applyAlignment="1" pivotButton="0" quotePrefix="0" xfId="0">
      <alignment horizontal="left" vertical="center" indent="1"/>
    </xf>
    <xf numFmtId="3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 indent="1"/>
    </xf>
    <xf numFmtId="0" fontId="10" fillId="0" borderId="0" pivotButton="0" quotePrefix="0" xfId="0"/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65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1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165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3" fontId="13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indent="1"/>
    </xf>
    <xf numFmtId="3" fontId="1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0" customWidth="1" min="4" max="4"/>
    <col width="2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AP 협의 대응 요약 — 인력 구분 · OP 육성/충원 · 소요인원</t>
        </is>
      </c>
    </row>
    <row r="2">
      <c r="A2" s="2" t="inlineStr">
        <is>
          <t>2026-09-01(화) 15:40 AP 생산지원팀 협의용. 입력은 1~5번 시트에서만.</t>
        </is>
      </c>
    </row>
    <row r="4" ht="20" customHeight="1">
      <c r="A4" s="3" t="inlineStr">
        <is>
          <t>① AP 요구사항 3건 및 답변</t>
        </is>
      </c>
    </row>
    <row r="5" ht="34" customHeight="1">
      <c r="A5" s="4" t="inlineStr">
        <is>
          <t>No</t>
        </is>
      </c>
      <c r="B5" s="4" t="inlineStr">
        <is>
          <t>AP 요구</t>
        </is>
      </c>
      <c r="C5" s="4" t="inlineStr">
        <is>
          <t>답변 (자동 연결)</t>
        </is>
      </c>
      <c r="D5" s="4" t="inlineStr">
        <is>
          <t>산출 시트</t>
        </is>
      </c>
    </row>
    <row r="6" ht="30" customHeight="1">
      <c r="A6" s="5" t="inlineStr">
        <is>
          <t>1</t>
        </is>
      </c>
      <c r="B6" s="6" t="inlineStr">
        <is>
          <t>비정규를 일용 / 일용 외로 구분</t>
        </is>
      </c>
      <c r="C6" s="7">
        <f>IF('1.인원구분현황'!$G$11=0,"1.인원구분현황 시트 미입력","일용 외 "&amp;TEXT(SUM('1.인원구분현황'!$C$7:$E$10),"0")&amp;"명 / 일용 "&amp;TEXT(SUM('1.인원구분현황'!$F$7:$F$10),"0")&amp;"명 (일용 일평균 "&amp;TEXT('1.인원구분현황'!$C$37,"0.0")&amp;"명)")</f>
        <v/>
      </c>
      <c r="D6" s="8" t="inlineStr">
        <is>
          <t>1.인원구분현황</t>
        </is>
      </c>
    </row>
    <row r="7" ht="30" customHeight="1">
      <c r="A7" s="5" t="inlineStr">
        <is>
          <t>2</t>
        </is>
      </c>
      <c r="B7" s="6" t="inlineStr">
        <is>
          <t>OP 육성 n명 / 충원 n명 / 전환시점 / 월별 인원</t>
        </is>
      </c>
      <c r="C7" s="7">
        <f>"육성 중 "&amp;TEXT('2.OP육성전환계획'!$B$68,"0")&amp;"명, 충원 중 "&amp;TEXT('2.OP육성전환계획'!$B$71,"0")&amp;"명 → "&amp;'3.월별인원추이'!$A$11&amp;" 보유 OP "&amp;TEXT('3.월별인원추이'!$F$11,"0")&amp;"명"</f>
        <v/>
      </c>
      <c r="D7" s="8" t="inlineStr">
        <is>
          <t>2 · 3번 시트</t>
        </is>
      </c>
    </row>
    <row r="8" ht="30" customHeight="1">
      <c r="A8" s="5" t="inlineStr">
        <is>
          <t>3</t>
        </is>
      </c>
      <c r="B8" s="6" t="inlineStr">
        <is>
          <t>단기 대응 (일용 충원 · 휴가 최소화 등) 인원수까지</t>
        </is>
      </c>
      <c r="C8" s="7">
        <f>IF('5.단기대응현황'!$F$13=0,"5.단기대응현황 시트 미입력","적용 "&amp;TEXT('5.단기대응현황'!$D$13,"0")&amp;"명 / 월 "&amp;TEXT('5.단기대응현황'!$F$13,"#,##0")&amp;" M·H 확보 = 정규 "&amp;TEXT('5.단기대응현황'!$F$13/209,"0.0")&amp;"명분")</f>
        <v/>
      </c>
      <c r="D8" s="8" t="inlineStr">
        <is>
          <t>5.단기대응현황</t>
        </is>
      </c>
    </row>
    <row r="10" ht="20" customHeight="1">
      <c r="A10" s="3" t="inlineStr">
        <is>
          <t>② 충원 인원 — 협의 포지션</t>
        </is>
      </c>
    </row>
    <row r="11" ht="34" customHeight="1">
      <c r="A11" s="4" t="inlineStr">
        <is>
          <t>구분</t>
        </is>
      </c>
      <c r="B11" s="4" t="inlineStr">
        <is>
          <t>기준</t>
        </is>
      </c>
      <c r="C11" s="4" t="inlineStr">
        <is>
          <t>인원(명)</t>
        </is>
      </c>
      <c r="D11" s="4" t="inlineStr">
        <is>
          <t>월 비용 영향(원)</t>
        </is>
      </c>
      <c r="E11" s="4" t="inlineStr">
        <is>
          <t>메모</t>
        </is>
      </c>
    </row>
    <row r="12">
      <c r="A12" s="9" t="inlineStr">
        <is>
          <t>제니엘 기존 제시</t>
        </is>
      </c>
      <c r="B12" s="10" t="inlineStr">
        <is>
          <t>에버리지 (튜브+1 · 직선+1)</t>
        </is>
      </c>
      <c r="C12" s="11" t="n">
        <v>12</v>
      </c>
      <c r="D12" s="12">
        <f>IF($C12="","",$C12*209*35121)</f>
        <v/>
      </c>
      <c r="E12" s="8" t="inlineStr">
        <is>
          <t>재확인 후 정정 필요</t>
        </is>
      </c>
    </row>
    <row r="13">
      <c r="A13" s="9" t="inlineStr">
        <is>
          <t>AP 지원팀 ↔ 포장팀 합의</t>
        </is>
      </c>
      <c r="B13" s="10" t="inlineStr">
        <is>
          <t>에버리지</t>
        </is>
      </c>
      <c r="C13" s="11" t="n">
        <v>6</v>
      </c>
      <c r="D13" s="12">
        <f>IF($C13="","",$C13*209*35121)</f>
        <v/>
      </c>
      <c r="E13" s="8" t="inlineStr">
        <is>
          <t>크로스트레이닝 충당 전제</t>
        </is>
      </c>
    </row>
    <row r="14">
      <c r="A14" s="9" t="inlineStr">
        <is>
          <t>포장팀 현재 요구</t>
        </is>
      </c>
      <c r="B14" s="10" t="inlineStr">
        <is>
          <t>맥스 (튜브 6대 · 직선+2)</t>
        </is>
      </c>
      <c r="C14" s="13" t="n"/>
      <c r="D14" s="12">
        <f>IF($C14="","",$C14*209*35121)</f>
        <v/>
      </c>
      <c r="E14" s="8" t="inlineStr">
        <is>
          <t>필요 인원 미제시 상태</t>
        </is>
      </c>
    </row>
    <row r="15">
      <c r="A15" s="9" t="inlineStr">
        <is>
          <t>본 시뮬 — 에버리지 잔여</t>
        </is>
      </c>
      <c r="B15" s="10" t="inlineStr">
        <is>
          <t>충당 수단 소진 후</t>
        </is>
      </c>
      <c r="C15" s="12">
        <f>'4.소요인원시뮬'!$B$29</f>
        <v/>
      </c>
      <c r="D15" s="12">
        <f>IF($C15="","",$C15*209*35121)</f>
        <v/>
      </c>
      <c r="E15" s="8" t="inlineStr">
        <is>
          <t>AP에 제시할 숫자</t>
        </is>
      </c>
    </row>
    <row r="16">
      <c r="A16" s="9" t="inlineStr">
        <is>
          <t>본 시뮬 — 맥스 잔여</t>
        </is>
      </c>
      <c r="B16" s="10" t="inlineStr">
        <is>
          <t>충당 수단 소진 후</t>
        </is>
      </c>
      <c r="C16" s="12">
        <f>'4.소요인원시뮬'!$D$29</f>
        <v/>
      </c>
      <c r="D16" s="12">
        <f>IF($C16="","",$C16*209*35121)</f>
        <v/>
      </c>
      <c r="E16" s="8" t="inlineStr">
        <is>
          <t>별도 전략으로 분리 제시</t>
        </is>
      </c>
    </row>
    <row r="18" ht="20" customHeight="1">
      <c r="A18" s="3" t="inlineStr">
        <is>
          <t>③ 협의 원칙 (내일 미팅에서 지킬 것)</t>
        </is>
      </c>
    </row>
    <row r="19" ht="22" customHeight="1">
      <c r="A19" s="6" t="inlineStr">
        <is>
          <t>1. 에버리지를 먼저 말하고, 맥스는 별도 안건으로 분리한다. 맥스 기준 인원을 곧바로 충원 요구로 제시하지 않는다.</t>
        </is>
      </c>
      <c r="B19" s="14" t="n"/>
      <c r="C19" s="14" t="n"/>
      <c r="D19" s="14" t="n"/>
      <c r="E19" s="14" t="n"/>
      <c r="F19" s="14" t="n"/>
      <c r="G19" s="14" t="n"/>
      <c r="H19" s="15" t="n"/>
    </row>
    <row r="20" ht="22" customHeight="1">
      <c r="A20" s="6" t="inlineStr">
        <is>
          <t>2. 충당 수단(일용 · 크로스트레이닝 · 재배치 · 외주화)을 모두 소진한 뒤 남는 잔여만 충원 요청 숫자로 낸다.</t>
        </is>
      </c>
      <c r="B20" s="14" t="n"/>
      <c r="C20" s="14" t="n"/>
      <c r="D20" s="14" t="n"/>
      <c r="E20" s="14" t="n"/>
      <c r="F20" s="14" t="n"/>
      <c r="G20" s="14" t="n"/>
      <c r="H20" s="15" t="n"/>
    </row>
    <row r="21" ht="22" customHeight="1">
      <c r="A21" s="6" t="inlineStr">
        <is>
          <t>3. 충원 협의 창구는 AP 생산지원팀으로 일원화한다. 포장팀 요구는 '물량 · 가동 계획'으로만 접수한다.</t>
        </is>
      </c>
      <c r="B21" s="14" t="n"/>
      <c r="C21" s="14" t="n"/>
      <c r="D21" s="14" t="n"/>
      <c r="E21" s="14" t="n"/>
      <c r="F21" s="14" t="n"/>
      <c r="G21" s="14" t="n"/>
      <c r="H21" s="15" t="n"/>
    </row>
    <row r="22" ht="22" customHeight="1">
      <c r="A22" s="6" t="inlineStr">
        <is>
          <t>4. 원료측량 · 내용물창고 전례(무작정 정규 충원 → 유휴 전환)를 반복하지 않는다. 전환 전 물량 지속성 확인.</t>
        </is>
      </c>
      <c r="B22" s="14" t="n"/>
      <c r="C22" s="14" t="n"/>
      <c r="D22" s="14" t="n"/>
      <c r="E22" s="14" t="n"/>
      <c r="F22" s="14" t="n"/>
      <c r="G22" s="14" t="n"/>
      <c r="H22" s="15" t="n"/>
    </row>
    <row r="23" ht="22" customHeight="1">
      <c r="A23" s="6" t="inlineStr">
        <is>
          <t>5. 계획은 월 단위 가시성으로 제출하고, 이후 팔로업을 정례화한다. 이번 지적의 본질은 인원수가 아니라 팔로업 부재다.</t>
        </is>
      </c>
      <c r="B23" s="14" t="n"/>
      <c r="C23" s="14" t="n"/>
      <c r="D23" s="14" t="n"/>
      <c r="E23" s="14" t="n"/>
      <c r="F23" s="14" t="n"/>
      <c r="G23" s="14" t="n"/>
      <c r="H23" s="15" t="n"/>
    </row>
    <row r="25" ht="20" customHeight="1">
      <c r="A25" s="3" t="inlineStr">
        <is>
          <t>④ 리스크</t>
        </is>
      </c>
    </row>
    <row r="26" ht="34" customHeight="1">
      <c r="A26" s="4" t="inlineStr">
        <is>
          <t>구분</t>
        </is>
      </c>
      <c r="B26" s="4" t="inlineStr">
        <is>
          <t>내용</t>
        </is>
      </c>
      <c r="C26" s="4" t="inlineStr">
        <is>
          <t>대응</t>
        </is>
      </c>
    </row>
    <row r="27" ht="30" customHeight="1">
      <c r="A27" s="16" t="inlineStr">
        <is>
          <t>노무</t>
        </is>
      </c>
      <c r="B27" s="17" t="inlineStr">
        <is>
          <t>포장팀(현장 부서)이 도급사 인력 편성에 직접 관여 → 위장도급 시비 소지</t>
        </is>
      </c>
      <c r="C27" s="14" t="n"/>
      <c r="D27" s="15" t="n"/>
      <c r="E27" s="17" t="inlineStr">
        <is>
          <t>충원 협의 창구 지원팀 일원화. 포장팀 요구는 물량 기준으로만 접수 · 문서화</t>
        </is>
      </c>
      <c r="F27" s="14" t="n"/>
      <c r="G27" s="14" t="n"/>
      <c r="H27" s="15" t="n"/>
    </row>
    <row r="28" ht="30" customHeight="1">
      <c r="A28" s="16" t="inlineStr">
        <is>
          <t>손익</t>
        </is>
      </c>
      <c r="B28" s="17" t="inlineStr">
        <is>
          <t>맥스 기준 12명 충원 시 월 8,808만원 · 연 10.6억원 규모 공수가 지속 확보되어야 함</t>
        </is>
      </c>
      <c r="C28" s="14" t="n"/>
      <c r="D28" s="15" t="n"/>
      <c r="E28" s="17" t="inlineStr">
        <is>
          <t>에버리지 기준 충원 + 변동분은 일용 · 크로스트레이닝으로 흡수</t>
        </is>
      </c>
      <c r="F28" s="14" t="n"/>
      <c r="G28" s="14" t="n"/>
      <c r="H28" s="15" t="n"/>
    </row>
    <row r="29" ht="30" customHeight="1">
      <c r="A29" s="16" t="inlineStr">
        <is>
          <t>품질·안전</t>
        </is>
      </c>
      <c r="B29" s="17" t="inlineStr">
        <is>
          <t>일용 비중 확대 및 잔업 · 휴가 최소화로 숙련도 저하 · 장시간 근로 위험</t>
        </is>
      </c>
      <c r="C29" s="14" t="n"/>
      <c r="D29" s="15" t="n"/>
      <c r="E29" s="17" t="inlineStr">
        <is>
          <t>일용 투입 공정 한정. 교육 이수 확인 후 단독 투입</t>
        </is>
      </c>
      <c r="F29" s="14" t="n"/>
      <c r="G29" s="14" t="n"/>
      <c r="H29" s="15" t="n"/>
    </row>
    <row r="30" ht="30" customHeight="1">
      <c r="A30" s="16" t="inlineStr">
        <is>
          <t>관계</t>
        </is>
      </c>
      <c r="B30" s="17" t="inlineStr">
        <is>
          <t>'계획만 있고 팔로업 없다'는 임원 인식 고착</t>
        </is>
      </c>
      <c r="C30" s="14" t="n"/>
      <c r="D30" s="15" t="n"/>
      <c r="E30" s="17" t="inlineStr">
        <is>
          <t>월별 추이표를 정례 보고물로 고정. 9월부터 매월 갱신 제출</t>
        </is>
      </c>
      <c r="F30" s="14" t="n"/>
      <c r="G30" s="14" t="n"/>
      <c r="H30" s="15" t="n"/>
    </row>
  </sheetData>
  <mergeCells count="18">
    <mergeCell ref="A18:H18"/>
    <mergeCell ref="A4:H4"/>
    <mergeCell ref="B28:D28"/>
    <mergeCell ref="A21:H21"/>
    <mergeCell ref="B29:D29"/>
    <mergeCell ref="A25:H25"/>
    <mergeCell ref="A20:H20"/>
    <mergeCell ref="A10:H10"/>
    <mergeCell ref="E30:H30"/>
    <mergeCell ref="B27:D27"/>
    <mergeCell ref="A19:H19"/>
    <mergeCell ref="E29:H29"/>
    <mergeCell ref="B30:D30"/>
    <mergeCell ref="A1:H1"/>
    <mergeCell ref="A23:H23"/>
    <mergeCell ref="E27:H27"/>
    <mergeCell ref="E28:H28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3" customWidth="1" min="4" max="4"/>
    <col width="16" customWidth="1" min="5" max="5"/>
    <col width="15" customWidth="1" min="6" max="6"/>
    <col width="12" customWidth="1" min="7" max="7"/>
    <col width="44" customWidth="1" min="8" max="8"/>
  </cols>
  <sheetData>
    <row r="1" ht="26" customHeight="1">
      <c r="A1" s="1" t="inlineStr">
        <is>
          <t>인원 구분 현황 — 정규 / 비정규(일용 · 일용 외)</t>
        </is>
      </c>
    </row>
    <row r="2">
      <c r="A2" s="2" t="inlineStr">
        <is>
          <t>AP 요구① : 비정규를 '일용'과 '일용 외'로 분리 제시. 노란 셀 입력.</t>
        </is>
      </c>
    </row>
    <row r="4" ht="20" customHeight="1">
      <c r="A4" s="3" t="inlineStr">
        <is>
          <t>① 계약유형별 인원 (2026-08-31 기준)</t>
        </is>
      </c>
    </row>
    <row r="5" ht="34" customHeight="1">
      <c r="A5" s="4" t="inlineStr">
        <is>
          <t>고객 / 계약</t>
        </is>
      </c>
      <c r="B5" s="4" t="inlineStr">
        <is>
          <t>정규</t>
        </is>
      </c>
      <c r="C5" s="4" t="inlineStr">
        <is>
          <t>비정규 — 일용 외</t>
        </is>
      </c>
      <c r="D5" s="14" t="n"/>
      <c r="E5" s="15" t="n"/>
      <c r="F5" s="4" t="inlineStr">
        <is>
          <t>비정규 — 일용</t>
        </is>
      </c>
      <c r="G5" s="4" t="inlineStr">
        <is>
          <t>합계</t>
        </is>
      </c>
      <c r="H5" s="4" t="inlineStr">
        <is>
          <t>비고</t>
        </is>
      </c>
    </row>
    <row r="6" ht="34" customHeight="1">
      <c r="A6" s="18" t="n"/>
      <c r="B6" s="18" t="n"/>
      <c r="C6" s="4" t="inlineStr">
        <is>
          <t>무기계약직</t>
        </is>
      </c>
      <c r="D6" s="4" t="inlineStr">
        <is>
          <t>촉탁직</t>
        </is>
      </c>
      <c r="E6" s="4" t="inlineStr">
        <is>
          <t>계약직
(정규전환 대기)</t>
        </is>
      </c>
      <c r="F6" s="18" t="n"/>
      <c r="G6" s="18" t="n"/>
      <c r="H6" s="18" t="n"/>
    </row>
    <row r="7">
      <c r="A7" s="19" t="inlineStr">
        <is>
          <t>AP — 생산도급</t>
        </is>
      </c>
      <c r="B7" s="13" t="n"/>
      <c r="C7" s="13" t="n"/>
      <c r="D7" s="13" t="n"/>
      <c r="E7" s="13" t="n"/>
      <c r="F7" s="13" t="n"/>
      <c r="G7" s="20">
        <f>SUM(B7:F7)</f>
        <v/>
      </c>
      <c r="H7" s="8" t="inlineStr">
        <is>
          <t>현 인원 기준 153명 (CLAUDE.md 기본값 — 실제값으로 교체)</t>
        </is>
      </c>
    </row>
    <row r="8">
      <c r="A8" s="19" t="inlineStr">
        <is>
          <t>AP — 업무도급</t>
        </is>
      </c>
      <c r="B8" s="13" t="n"/>
      <c r="C8" s="13" t="n"/>
      <c r="D8" s="13" t="n"/>
      <c r="E8" s="13" t="n"/>
      <c r="F8" s="13" t="n"/>
      <c r="G8" s="20">
        <f>SUM(B8:F8)</f>
        <v/>
      </c>
      <c r="H8" s="8" t="inlineStr">
        <is>
          <t>현 인원 기준 91명 (CLAUDE.md 기본값 — 실제값으로 교체)</t>
        </is>
      </c>
    </row>
    <row r="9">
      <c r="A9" s="19" t="inlineStr">
        <is>
          <t>코스비전 — 생산도급</t>
        </is>
      </c>
      <c r="B9" s="13" t="n"/>
      <c r="C9" s="13" t="n"/>
      <c r="D9" s="13" t="n"/>
      <c r="E9" s="13" t="n"/>
      <c r="F9" s="13" t="n"/>
      <c r="G9" s="20">
        <f>SUM(B9:F9)</f>
        <v/>
      </c>
      <c r="H9" s="8" t="inlineStr">
        <is>
          <t>현 인원 기준 55명 (CLAUDE.md 기본값 — 실제값으로 교체)</t>
        </is>
      </c>
    </row>
    <row r="10">
      <c r="A10" s="19" t="inlineStr">
        <is>
          <t>코스비전 — 업무도급</t>
        </is>
      </c>
      <c r="B10" s="13" t="n"/>
      <c r="C10" s="13" t="n"/>
      <c r="D10" s="13" t="n"/>
      <c r="E10" s="13" t="n"/>
      <c r="F10" s="13" t="n"/>
      <c r="G10" s="20">
        <f>SUM(B10:F10)</f>
        <v/>
      </c>
      <c r="H10" s="8" t="inlineStr">
        <is>
          <t>현 인원 기준 55명 (CLAUDE.md 기본값 — 실제값으로 교체)</t>
        </is>
      </c>
    </row>
    <row r="11">
      <c r="A11" s="19" t="inlineStr">
        <is>
          <t>합계</t>
        </is>
      </c>
      <c r="B11" s="20">
        <f>SUM(B7:B10)</f>
        <v/>
      </c>
      <c r="C11" s="20">
        <f>SUM(C7:C10)</f>
        <v/>
      </c>
      <c r="D11" s="20">
        <f>SUM(D7:D10)</f>
        <v/>
      </c>
      <c r="E11" s="20">
        <f>SUM(E7:E10)</f>
        <v/>
      </c>
      <c r="F11" s="20">
        <f>SUM(F7:F10)</f>
        <v/>
      </c>
      <c r="G11" s="20">
        <f>SUM(G7:G10)</f>
        <v/>
      </c>
      <c r="H11" s="21" t="inlineStr"/>
    </row>
    <row r="13" ht="20" customHeight="1">
      <c r="A13" s="3" t="inlineStr">
        <is>
          <t>② 통화 언급 수치 — 정합성 확인 필요 (제출 전 반드시 해소)</t>
        </is>
      </c>
    </row>
    <row r="14" ht="34" customHeight="1">
      <c r="A14" s="4" t="inlineStr">
        <is>
          <t>통화 언급 항목</t>
        </is>
      </c>
      <c r="B14" s="4" t="inlineStr">
        <is>
          <t>수치</t>
        </is>
      </c>
      <c r="C14" s="4" t="inlineStr">
        <is>
          <t>해석 / 확인사항</t>
        </is>
      </c>
    </row>
    <row r="15" ht="26" customHeight="1">
      <c r="A15" s="9" t="inlineStr">
        <is>
          <t>정규 + 계약직 합계</t>
        </is>
      </c>
      <c r="B15" s="22" t="n">
        <v>96</v>
      </c>
      <c r="C15" s="23" t="inlineStr">
        <is>
          <t>'15명과 81명 합쳐서 96명' — 81=정규 / 15=계약직(촉탁·무기 포함) 여부 확인</t>
        </is>
      </c>
      <c r="D15" s="14" t="n"/>
      <c r="E15" s="14" t="n"/>
      <c r="F15" s="14" t="n"/>
      <c r="G15" s="14" t="n"/>
      <c r="H15" s="15" t="n"/>
    </row>
    <row r="16" ht="26" customHeight="1">
      <c r="A16" s="9" t="inlineStr">
        <is>
          <t>계약직(일용 외)</t>
        </is>
      </c>
      <c r="B16" s="22" t="n">
        <v>15</v>
      </c>
      <c r="C16" s="23" t="inlineStr">
        <is>
          <t>촉탁직 + 무기계약직 + 정규전환 대기 계약직 내역 분해 필요</t>
        </is>
      </c>
      <c r="D16" s="14" t="n"/>
      <c r="E16" s="14" t="n"/>
      <c r="F16" s="14" t="n"/>
      <c r="G16" s="14" t="n"/>
      <c r="H16" s="15" t="n"/>
    </row>
    <row r="17" ht="26" customHeight="1">
      <c r="A17" s="9" t="inlineStr">
        <is>
          <t>실제 단기(일용) 투입</t>
        </is>
      </c>
      <c r="B17" s="22" t="n">
        <v>14</v>
      </c>
      <c r="C17" s="23" t="inlineStr">
        <is>
          <t>2026-08-31 일자 기준 실투입. 일별 편차 있으므로 8월 평균 병기 권장</t>
        </is>
      </c>
      <c r="D17" s="14" t="n"/>
      <c r="E17" s="14" t="n"/>
      <c r="F17" s="14" t="n"/>
      <c r="G17" s="14" t="n"/>
      <c r="H17" s="15" t="n"/>
    </row>
    <row r="18" ht="26" customHeight="1">
      <c r="A18" s="9" t="inlineStr">
        <is>
          <t>비정규 인원</t>
        </is>
      </c>
      <c r="B18" s="22" t="n">
        <v>25</v>
      </c>
      <c r="C18" s="23" t="inlineStr">
        <is>
          <t>이명일님·김상은님이 문제 삼은 수치. 위 15명 + 일용 몇 명인지 불일치 — 기준일·집계범위 확인</t>
        </is>
      </c>
      <c r="D18" s="14" t="n"/>
      <c r="E18" s="14" t="n"/>
      <c r="F18" s="14" t="n"/>
      <c r="G18" s="14" t="n"/>
      <c r="H18" s="15" t="n"/>
    </row>
    <row r="20">
      <c r="A20" s="24" t="inlineStr">
        <is>
          <t>※ 위 4개 수치는 서로 정합하지 않음. 기준일과 집계 범위(팀·계약유형)를 통일한 뒤 ①표를 확정할 것.</t>
        </is>
      </c>
    </row>
    <row r="22" ht="20" customHeight="1">
      <c r="A22" s="3" t="inlineStr">
        <is>
          <t>③ 일용(단기) 일별 투입 추이 — '하루에 얼마나 들어오는지'에 대한 답</t>
        </is>
      </c>
    </row>
    <row r="23" ht="34" customHeight="1">
      <c r="A23" s="4" t="inlineStr">
        <is>
          <t>일자</t>
        </is>
      </c>
      <c r="B23" s="4" t="inlineStr">
        <is>
          <t>요일</t>
        </is>
      </c>
      <c r="C23" s="4" t="inlineStr">
        <is>
          <t>일용 투입(명)</t>
        </is>
      </c>
      <c r="D23" s="4" t="inlineStr">
        <is>
          <t>배치 라인</t>
        </is>
      </c>
      <c r="E23" s="4" t="inlineStr">
        <is>
          <t>비고</t>
        </is>
      </c>
    </row>
    <row r="24">
      <c r="A24" s="25" t="n">
        <v>46251</v>
      </c>
      <c r="B24" s="26">
        <f>IF($A24="","",CHOOSE(WEEKDAY($A24),"일","월","화","수","목","금","토"))</f>
        <v/>
      </c>
      <c r="C24" s="13" t="n"/>
      <c r="D24" s="27" t="n"/>
      <c r="E24" s="27" t="n"/>
    </row>
    <row r="25">
      <c r="A25" s="25" t="n">
        <v>46252</v>
      </c>
      <c r="B25" s="26">
        <f>IF($A25="","",CHOOSE(WEEKDAY($A25),"일","월","화","수","목","금","토"))</f>
        <v/>
      </c>
      <c r="C25" s="13" t="n"/>
      <c r="D25" s="27" t="n"/>
      <c r="E25" s="27" t="n"/>
    </row>
    <row r="26">
      <c r="A26" s="25" t="n">
        <v>46253</v>
      </c>
      <c r="B26" s="26">
        <f>IF($A26="","",CHOOSE(WEEKDAY($A26),"일","월","화","수","목","금","토"))</f>
        <v/>
      </c>
      <c r="C26" s="13" t="n"/>
      <c r="D26" s="27" t="n"/>
      <c r="E26" s="27" t="n"/>
    </row>
    <row r="27">
      <c r="A27" s="25" t="n">
        <v>46254</v>
      </c>
      <c r="B27" s="26">
        <f>IF($A27="","",CHOOSE(WEEKDAY($A27),"일","월","화","수","목","금","토"))</f>
        <v/>
      </c>
      <c r="C27" s="13" t="n"/>
      <c r="D27" s="27" t="n"/>
      <c r="E27" s="27" t="n"/>
    </row>
    <row r="28">
      <c r="A28" s="25" t="n">
        <v>46255</v>
      </c>
      <c r="B28" s="26">
        <f>IF($A28="","",CHOOSE(WEEKDAY($A28),"일","월","화","수","목","금","토"))</f>
        <v/>
      </c>
      <c r="C28" s="13" t="n"/>
      <c r="D28" s="27" t="n"/>
      <c r="E28" s="27" t="n"/>
    </row>
    <row r="29">
      <c r="A29" s="25" t="n">
        <v>46256</v>
      </c>
      <c r="B29" s="26">
        <f>IF($A29="","",CHOOSE(WEEKDAY($A29),"일","월","화","수","목","금","토"))</f>
        <v/>
      </c>
      <c r="C29" s="13" t="n"/>
      <c r="D29" s="27" t="n"/>
      <c r="E29" s="27" t="n"/>
    </row>
    <row r="30">
      <c r="A30" s="25" t="n">
        <v>46258</v>
      </c>
      <c r="B30" s="26">
        <f>IF($A30="","",CHOOSE(WEEKDAY($A30),"일","월","화","수","목","금","토"))</f>
        <v/>
      </c>
      <c r="C30" s="13" t="n"/>
      <c r="D30" s="27" t="n"/>
      <c r="E30" s="27" t="n"/>
    </row>
    <row r="31">
      <c r="A31" s="25" t="n">
        <v>46259</v>
      </c>
      <c r="B31" s="26">
        <f>IF($A31="","",CHOOSE(WEEKDAY($A31),"일","월","화","수","목","금","토"))</f>
        <v/>
      </c>
      <c r="C31" s="13" t="n"/>
      <c r="D31" s="27" t="n"/>
      <c r="E31" s="27" t="n"/>
    </row>
    <row r="32">
      <c r="A32" s="25" t="n">
        <v>46260</v>
      </c>
      <c r="B32" s="26">
        <f>IF($A32="","",CHOOSE(WEEKDAY($A32),"일","월","화","수","목","금","토"))</f>
        <v/>
      </c>
      <c r="C32" s="13" t="n"/>
      <c r="D32" s="27" t="n"/>
      <c r="E32" s="27" t="n"/>
    </row>
    <row r="33">
      <c r="A33" s="25" t="n">
        <v>46261</v>
      </c>
      <c r="B33" s="26">
        <f>IF($A33="","",CHOOSE(WEEKDAY($A33),"일","월","화","수","목","금","토"))</f>
        <v/>
      </c>
      <c r="C33" s="13" t="n"/>
      <c r="D33" s="27" t="n"/>
      <c r="E33" s="27" t="n"/>
    </row>
    <row r="34">
      <c r="A34" s="25" t="n">
        <v>46262</v>
      </c>
      <c r="B34" s="26">
        <f>IF($A34="","",CHOOSE(WEEKDAY($A34),"일","월","화","수","목","금","토"))</f>
        <v/>
      </c>
      <c r="C34" s="13" t="n"/>
      <c r="D34" s="27" t="n"/>
      <c r="E34" s="27" t="n"/>
    </row>
    <row r="35">
      <c r="A35" s="25" t="n">
        <v>46263</v>
      </c>
      <c r="B35" s="26">
        <f>IF($A35="","",CHOOSE(WEEKDAY($A35),"일","월","화","수","목","금","토"))</f>
        <v/>
      </c>
      <c r="C35" s="13" t="n"/>
      <c r="D35" s="27" t="n"/>
      <c r="E35" s="27" t="n"/>
    </row>
    <row r="36">
      <c r="A36" s="25" t="n">
        <v>46265</v>
      </c>
      <c r="B36" s="26">
        <f>IF($A36="","",CHOOSE(WEEKDAY($A36),"일","월","화","수","목","금","토"))</f>
        <v/>
      </c>
      <c r="C36" s="13" t="n"/>
      <c r="D36" s="27" t="n"/>
      <c r="E36" s="27" t="n"/>
    </row>
    <row r="37">
      <c r="A37" s="19" t="inlineStr">
        <is>
          <t>평균 / 최대</t>
        </is>
      </c>
      <c r="B37" s="21" t="inlineStr"/>
      <c r="C37" s="28">
        <f>IF(COUNT(C24:C36)=0,0,ROUND(AVERAGE(C24:C36),1))</f>
        <v/>
      </c>
      <c r="D37" s="20">
        <f>IF(COUNT(C24:C36)=0,0,MAX(C24:C36))</f>
        <v/>
      </c>
      <c r="E37" s="29" t="inlineStr">
        <is>
          <t>← 평균 / 최대</t>
        </is>
      </c>
    </row>
  </sheetData>
  <mergeCells count="14">
    <mergeCell ref="A5:A6"/>
    <mergeCell ref="A4:H4"/>
    <mergeCell ref="G5:G6"/>
    <mergeCell ref="H5:H6"/>
    <mergeCell ref="C16:H16"/>
    <mergeCell ref="C5:E5"/>
    <mergeCell ref="F5:F6"/>
    <mergeCell ref="C17:H17"/>
    <mergeCell ref="A13:H13"/>
    <mergeCell ref="C18:H18"/>
    <mergeCell ref="A1:H1"/>
    <mergeCell ref="B5:B6"/>
    <mergeCell ref="A22:H22"/>
    <mergeCell ref="C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5" customWidth="1" min="4" max="4"/>
    <col width="17" customWidth="1" min="5" max="5"/>
    <col width="14" customWidth="1" min="6" max="6"/>
    <col width="20" customWidth="1" min="7" max="7"/>
    <col width="14" customWidth="1" min="8" max="8"/>
    <col width="14" customWidth="1" min="9" max="9"/>
    <col width="32" customWidth="1" min="10" max="10"/>
  </cols>
  <sheetData>
    <row r="1" ht="26" customHeight="1">
      <c r="A1" s="1" t="inlineStr">
        <is>
          <t>OP 육성 · 충원 · 전환 계획 (개인 단위)</t>
        </is>
      </c>
    </row>
    <row r="2">
      <c r="A2" s="2" t="inlineStr">
        <is>
          <t>AP 요구② : 육성 중 n명 / 충원 중 n명 / 전환 시점 → 월별 보유 OP 추이의 원천 데이터. 4행 = 예시행.</t>
        </is>
      </c>
    </row>
    <row r="3" ht="34" customHeight="1">
      <c r="A3" s="4" t="inlineStr">
        <is>
          <t>No</t>
        </is>
      </c>
      <c r="B3" s="4" t="inlineStr">
        <is>
          <t>성명(이니셜)</t>
        </is>
      </c>
      <c r="C3" s="4" t="inlineStr">
        <is>
          <t>소속 라인</t>
        </is>
      </c>
      <c r="D3" s="4" t="inlineStr">
        <is>
          <t>현재 계약구분</t>
        </is>
      </c>
      <c r="E3" s="4" t="inlineStr">
        <is>
          <t>입사일 / 입사예정일</t>
        </is>
      </c>
      <c r="F3" s="4" t="inlineStr">
        <is>
          <t>OP 육성단계</t>
        </is>
      </c>
      <c r="G3" s="4" t="inlineStr">
        <is>
          <t>단독 투입 가능 라인</t>
        </is>
      </c>
      <c r="H3" s="4" t="inlineStr">
        <is>
          <t>전환 예정월
(YYYY-MM)</t>
        </is>
      </c>
      <c r="I3" s="4" t="inlineStr">
        <is>
          <t>전환 후 구분</t>
        </is>
      </c>
      <c r="J3" s="4" t="inlineStr">
        <is>
          <t>비고</t>
        </is>
      </c>
    </row>
    <row r="4">
      <c r="A4" s="30" t="n">
        <v>1</v>
      </c>
      <c r="B4" s="31" t="inlineStr">
        <is>
          <t>김○○</t>
        </is>
      </c>
      <c r="C4" s="31" t="inlineStr">
        <is>
          <t>튜브 4호기</t>
        </is>
      </c>
      <c r="D4" s="32" t="inlineStr">
        <is>
          <t>계약직</t>
        </is>
      </c>
      <c r="E4" s="33" t="n">
        <v>46188</v>
      </c>
      <c r="F4" s="32" t="inlineStr">
        <is>
          <t>교육중</t>
        </is>
      </c>
      <c r="G4" s="31" t="inlineStr">
        <is>
          <t>튜브 4·5호기</t>
        </is>
      </c>
      <c r="H4" s="32" t="inlineStr">
        <is>
          <t>2026-09</t>
        </is>
      </c>
      <c r="I4" s="32" t="inlineStr">
        <is>
          <t>정규</t>
        </is>
      </c>
      <c r="J4" s="34" t="inlineStr">
        <is>
          <t>◀ 예시행 — 실제 데이터로 덮어쓰기</t>
        </is>
      </c>
    </row>
    <row r="5">
      <c r="A5" s="35" t="n">
        <v>2</v>
      </c>
      <c r="B5" s="27" t="n"/>
      <c r="C5" s="27" t="n"/>
      <c r="D5" s="36" t="n"/>
      <c r="E5" s="37" t="n"/>
      <c r="F5" s="36" t="n"/>
      <c r="G5" s="27" t="n"/>
      <c r="H5" s="36" t="n"/>
      <c r="I5" s="36" t="n"/>
      <c r="J5" s="27" t="n"/>
    </row>
    <row r="6">
      <c r="A6" s="35" t="n">
        <v>3</v>
      </c>
      <c r="B6" s="27" t="n"/>
      <c r="C6" s="27" t="n"/>
      <c r="D6" s="36" t="n"/>
      <c r="E6" s="37" t="n"/>
      <c r="F6" s="36" t="n"/>
      <c r="G6" s="27" t="n"/>
      <c r="H6" s="36" t="n"/>
      <c r="I6" s="36" t="n"/>
      <c r="J6" s="27" t="n"/>
    </row>
    <row r="7">
      <c r="A7" s="35" t="n">
        <v>4</v>
      </c>
      <c r="B7" s="27" t="n"/>
      <c r="C7" s="27" t="n"/>
      <c r="D7" s="36" t="n"/>
      <c r="E7" s="37" t="n"/>
      <c r="F7" s="36" t="n"/>
      <c r="G7" s="27" t="n"/>
      <c r="H7" s="36" t="n"/>
      <c r="I7" s="36" t="n"/>
      <c r="J7" s="27" t="n"/>
    </row>
    <row r="8">
      <c r="A8" s="35" t="n">
        <v>5</v>
      </c>
      <c r="B8" s="27" t="n"/>
      <c r="C8" s="27" t="n"/>
      <c r="D8" s="36" t="n"/>
      <c r="E8" s="37" t="n"/>
      <c r="F8" s="36" t="n"/>
      <c r="G8" s="27" t="n"/>
      <c r="H8" s="36" t="n"/>
      <c r="I8" s="36" t="n"/>
      <c r="J8" s="27" t="n"/>
    </row>
    <row r="9">
      <c r="A9" s="35" t="n">
        <v>6</v>
      </c>
      <c r="B9" s="27" t="n"/>
      <c r="C9" s="27" t="n"/>
      <c r="D9" s="36" t="n"/>
      <c r="E9" s="37" t="n"/>
      <c r="F9" s="36" t="n"/>
      <c r="G9" s="27" t="n"/>
      <c r="H9" s="36" t="n"/>
      <c r="I9" s="36" t="n"/>
      <c r="J9" s="27" t="n"/>
    </row>
    <row r="10">
      <c r="A10" s="35" t="n">
        <v>7</v>
      </c>
      <c r="B10" s="27" t="n"/>
      <c r="C10" s="27" t="n"/>
      <c r="D10" s="36" t="n"/>
      <c r="E10" s="37" t="n"/>
      <c r="F10" s="36" t="n"/>
      <c r="G10" s="27" t="n"/>
      <c r="H10" s="36" t="n"/>
      <c r="I10" s="36" t="n"/>
      <c r="J10" s="27" t="n"/>
    </row>
    <row r="11">
      <c r="A11" s="35" t="n">
        <v>8</v>
      </c>
      <c r="B11" s="27" t="n"/>
      <c r="C11" s="27" t="n"/>
      <c r="D11" s="36" t="n"/>
      <c r="E11" s="37" t="n"/>
      <c r="F11" s="36" t="n"/>
      <c r="G11" s="27" t="n"/>
      <c r="H11" s="36" t="n"/>
      <c r="I11" s="36" t="n"/>
      <c r="J11" s="27" t="n"/>
    </row>
    <row r="12">
      <c r="A12" s="35" t="n">
        <v>9</v>
      </c>
      <c r="B12" s="27" t="n"/>
      <c r="C12" s="27" t="n"/>
      <c r="D12" s="36" t="n"/>
      <c r="E12" s="37" t="n"/>
      <c r="F12" s="36" t="n"/>
      <c r="G12" s="27" t="n"/>
      <c r="H12" s="36" t="n"/>
      <c r="I12" s="36" t="n"/>
      <c r="J12" s="27" t="n"/>
    </row>
    <row r="13">
      <c r="A13" s="35" t="n">
        <v>10</v>
      </c>
      <c r="B13" s="27" t="n"/>
      <c r="C13" s="27" t="n"/>
      <c r="D13" s="36" t="n"/>
      <c r="E13" s="37" t="n"/>
      <c r="F13" s="36" t="n"/>
      <c r="G13" s="27" t="n"/>
      <c r="H13" s="36" t="n"/>
      <c r="I13" s="36" t="n"/>
      <c r="J13" s="27" t="n"/>
    </row>
    <row r="14">
      <c r="A14" s="35" t="n">
        <v>11</v>
      </c>
      <c r="B14" s="27" t="n"/>
      <c r="C14" s="27" t="n"/>
      <c r="D14" s="36" t="n"/>
      <c r="E14" s="37" t="n"/>
      <c r="F14" s="36" t="n"/>
      <c r="G14" s="27" t="n"/>
      <c r="H14" s="36" t="n"/>
      <c r="I14" s="36" t="n"/>
      <c r="J14" s="27" t="n"/>
    </row>
    <row r="15">
      <c r="A15" s="35" t="n">
        <v>12</v>
      </c>
      <c r="B15" s="27" t="n"/>
      <c r="C15" s="27" t="n"/>
      <c r="D15" s="36" t="n"/>
      <c r="E15" s="37" t="n"/>
      <c r="F15" s="36" t="n"/>
      <c r="G15" s="27" t="n"/>
      <c r="H15" s="36" t="n"/>
      <c r="I15" s="36" t="n"/>
      <c r="J15" s="27" t="n"/>
    </row>
    <row r="16">
      <c r="A16" s="35" t="n">
        <v>13</v>
      </c>
      <c r="B16" s="27" t="n"/>
      <c r="C16" s="27" t="n"/>
      <c r="D16" s="36" t="n"/>
      <c r="E16" s="37" t="n"/>
      <c r="F16" s="36" t="n"/>
      <c r="G16" s="27" t="n"/>
      <c r="H16" s="36" t="n"/>
      <c r="I16" s="36" t="n"/>
      <c r="J16" s="27" t="n"/>
    </row>
    <row r="17">
      <c r="A17" s="35" t="n">
        <v>14</v>
      </c>
      <c r="B17" s="27" t="n"/>
      <c r="C17" s="27" t="n"/>
      <c r="D17" s="36" t="n"/>
      <c r="E17" s="37" t="n"/>
      <c r="F17" s="36" t="n"/>
      <c r="G17" s="27" t="n"/>
      <c r="H17" s="36" t="n"/>
      <c r="I17" s="36" t="n"/>
      <c r="J17" s="27" t="n"/>
    </row>
    <row r="18">
      <c r="A18" s="35" t="n">
        <v>15</v>
      </c>
      <c r="B18" s="27" t="n"/>
      <c r="C18" s="27" t="n"/>
      <c r="D18" s="36" t="n"/>
      <c r="E18" s="37" t="n"/>
      <c r="F18" s="36" t="n"/>
      <c r="G18" s="27" t="n"/>
      <c r="H18" s="36" t="n"/>
      <c r="I18" s="36" t="n"/>
      <c r="J18" s="27" t="n"/>
    </row>
    <row r="19">
      <c r="A19" s="35" t="n">
        <v>16</v>
      </c>
      <c r="B19" s="27" t="n"/>
      <c r="C19" s="27" t="n"/>
      <c r="D19" s="36" t="n"/>
      <c r="E19" s="37" t="n"/>
      <c r="F19" s="36" t="n"/>
      <c r="G19" s="27" t="n"/>
      <c r="H19" s="36" t="n"/>
      <c r="I19" s="36" t="n"/>
      <c r="J19" s="27" t="n"/>
    </row>
    <row r="20">
      <c r="A20" s="35" t="n">
        <v>17</v>
      </c>
      <c r="B20" s="27" t="n"/>
      <c r="C20" s="27" t="n"/>
      <c r="D20" s="36" t="n"/>
      <c r="E20" s="37" t="n"/>
      <c r="F20" s="36" t="n"/>
      <c r="G20" s="27" t="n"/>
      <c r="H20" s="36" t="n"/>
      <c r="I20" s="36" t="n"/>
      <c r="J20" s="27" t="n"/>
    </row>
    <row r="21">
      <c r="A21" s="35" t="n">
        <v>18</v>
      </c>
      <c r="B21" s="27" t="n"/>
      <c r="C21" s="27" t="n"/>
      <c r="D21" s="36" t="n"/>
      <c r="E21" s="37" t="n"/>
      <c r="F21" s="36" t="n"/>
      <c r="G21" s="27" t="n"/>
      <c r="H21" s="36" t="n"/>
      <c r="I21" s="36" t="n"/>
      <c r="J21" s="27" t="n"/>
    </row>
    <row r="22">
      <c r="A22" s="35" t="n">
        <v>19</v>
      </c>
      <c r="B22" s="27" t="n"/>
      <c r="C22" s="27" t="n"/>
      <c r="D22" s="36" t="n"/>
      <c r="E22" s="37" t="n"/>
      <c r="F22" s="36" t="n"/>
      <c r="G22" s="27" t="n"/>
      <c r="H22" s="36" t="n"/>
      <c r="I22" s="36" t="n"/>
      <c r="J22" s="27" t="n"/>
    </row>
    <row r="23">
      <c r="A23" s="35" t="n">
        <v>20</v>
      </c>
      <c r="B23" s="27" t="n"/>
      <c r="C23" s="27" t="n"/>
      <c r="D23" s="36" t="n"/>
      <c r="E23" s="37" t="n"/>
      <c r="F23" s="36" t="n"/>
      <c r="G23" s="27" t="n"/>
      <c r="H23" s="36" t="n"/>
      <c r="I23" s="36" t="n"/>
      <c r="J23" s="27" t="n"/>
    </row>
    <row r="24">
      <c r="A24" s="35" t="n">
        <v>21</v>
      </c>
      <c r="B24" s="27" t="n"/>
      <c r="C24" s="27" t="n"/>
      <c r="D24" s="36" t="n"/>
      <c r="E24" s="37" t="n"/>
      <c r="F24" s="36" t="n"/>
      <c r="G24" s="27" t="n"/>
      <c r="H24" s="36" t="n"/>
      <c r="I24" s="36" t="n"/>
      <c r="J24" s="27" t="n"/>
    </row>
    <row r="25">
      <c r="A25" s="35" t="n">
        <v>22</v>
      </c>
      <c r="B25" s="27" t="n"/>
      <c r="C25" s="27" t="n"/>
      <c r="D25" s="36" t="n"/>
      <c r="E25" s="37" t="n"/>
      <c r="F25" s="36" t="n"/>
      <c r="G25" s="27" t="n"/>
      <c r="H25" s="36" t="n"/>
      <c r="I25" s="36" t="n"/>
      <c r="J25" s="27" t="n"/>
    </row>
    <row r="26">
      <c r="A26" s="35" t="n">
        <v>23</v>
      </c>
      <c r="B26" s="27" t="n"/>
      <c r="C26" s="27" t="n"/>
      <c r="D26" s="36" t="n"/>
      <c r="E26" s="37" t="n"/>
      <c r="F26" s="36" t="n"/>
      <c r="G26" s="27" t="n"/>
      <c r="H26" s="36" t="n"/>
      <c r="I26" s="36" t="n"/>
      <c r="J26" s="27" t="n"/>
    </row>
    <row r="27">
      <c r="A27" s="35" t="n">
        <v>24</v>
      </c>
      <c r="B27" s="27" t="n"/>
      <c r="C27" s="27" t="n"/>
      <c r="D27" s="36" t="n"/>
      <c r="E27" s="37" t="n"/>
      <c r="F27" s="36" t="n"/>
      <c r="G27" s="27" t="n"/>
      <c r="H27" s="36" t="n"/>
      <c r="I27" s="36" t="n"/>
      <c r="J27" s="27" t="n"/>
    </row>
    <row r="28">
      <c r="A28" s="35" t="n">
        <v>25</v>
      </c>
      <c r="B28" s="27" t="n"/>
      <c r="C28" s="27" t="n"/>
      <c r="D28" s="36" t="n"/>
      <c r="E28" s="37" t="n"/>
      <c r="F28" s="36" t="n"/>
      <c r="G28" s="27" t="n"/>
      <c r="H28" s="36" t="n"/>
      <c r="I28" s="36" t="n"/>
      <c r="J28" s="27" t="n"/>
    </row>
    <row r="29">
      <c r="A29" s="35" t="n">
        <v>26</v>
      </c>
      <c r="B29" s="27" t="n"/>
      <c r="C29" s="27" t="n"/>
      <c r="D29" s="36" t="n"/>
      <c r="E29" s="37" t="n"/>
      <c r="F29" s="36" t="n"/>
      <c r="G29" s="27" t="n"/>
      <c r="H29" s="36" t="n"/>
      <c r="I29" s="36" t="n"/>
      <c r="J29" s="27" t="n"/>
    </row>
    <row r="30">
      <c r="A30" s="35" t="n">
        <v>27</v>
      </c>
      <c r="B30" s="27" t="n"/>
      <c r="C30" s="27" t="n"/>
      <c r="D30" s="36" t="n"/>
      <c r="E30" s="37" t="n"/>
      <c r="F30" s="36" t="n"/>
      <c r="G30" s="27" t="n"/>
      <c r="H30" s="36" t="n"/>
      <c r="I30" s="36" t="n"/>
      <c r="J30" s="27" t="n"/>
    </row>
    <row r="31">
      <c r="A31" s="35" t="n">
        <v>28</v>
      </c>
      <c r="B31" s="27" t="n"/>
      <c r="C31" s="27" t="n"/>
      <c r="D31" s="36" t="n"/>
      <c r="E31" s="37" t="n"/>
      <c r="F31" s="36" t="n"/>
      <c r="G31" s="27" t="n"/>
      <c r="H31" s="36" t="n"/>
      <c r="I31" s="36" t="n"/>
      <c r="J31" s="27" t="n"/>
    </row>
    <row r="32">
      <c r="A32" s="35" t="n">
        <v>29</v>
      </c>
      <c r="B32" s="27" t="n"/>
      <c r="C32" s="27" t="n"/>
      <c r="D32" s="36" t="n"/>
      <c r="E32" s="37" t="n"/>
      <c r="F32" s="36" t="n"/>
      <c r="G32" s="27" t="n"/>
      <c r="H32" s="36" t="n"/>
      <c r="I32" s="36" t="n"/>
      <c r="J32" s="27" t="n"/>
    </row>
    <row r="33">
      <c r="A33" s="35" t="n">
        <v>30</v>
      </c>
      <c r="B33" s="27" t="n"/>
      <c r="C33" s="27" t="n"/>
      <c r="D33" s="36" t="n"/>
      <c r="E33" s="37" t="n"/>
      <c r="F33" s="36" t="n"/>
      <c r="G33" s="27" t="n"/>
      <c r="H33" s="36" t="n"/>
      <c r="I33" s="36" t="n"/>
      <c r="J33" s="27" t="n"/>
    </row>
    <row r="34">
      <c r="A34" s="35" t="n">
        <v>31</v>
      </c>
      <c r="B34" s="27" t="n"/>
      <c r="C34" s="27" t="n"/>
      <c r="D34" s="36" t="n"/>
      <c r="E34" s="37" t="n"/>
      <c r="F34" s="36" t="n"/>
      <c r="G34" s="27" t="n"/>
      <c r="H34" s="36" t="n"/>
      <c r="I34" s="36" t="n"/>
      <c r="J34" s="27" t="n"/>
    </row>
    <row r="35">
      <c r="A35" s="35" t="n">
        <v>32</v>
      </c>
      <c r="B35" s="27" t="n"/>
      <c r="C35" s="27" t="n"/>
      <c r="D35" s="36" t="n"/>
      <c r="E35" s="37" t="n"/>
      <c r="F35" s="36" t="n"/>
      <c r="G35" s="27" t="n"/>
      <c r="H35" s="36" t="n"/>
      <c r="I35" s="36" t="n"/>
      <c r="J35" s="27" t="n"/>
    </row>
    <row r="36">
      <c r="A36" s="35" t="n">
        <v>33</v>
      </c>
      <c r="B36" s="27" t="n"/>
      <c r="C36" s="27" t="n"/>
      <c r="D36" s="36" t="n"/>
      <c r="E36" s="37" t="n"/>
      <c r="F36" s="36" t="n"/>
      <c r="G36" s="27" t="n"/>
      <c r="H36" s="36" t="n"/>
      <c r="I36" s="36" t="n"/>
      <c r="J36" s="27" t="n"/>
    </row>
    <row r="37">
      <c r="A37" s="35" t="n">
        <v>34</v>
      </c>
      <c r="B37" s="27" t="n"/>
      <c r="C37" s="27" t="n"/>
      <c r="D37" s="36" t="n"/>
      <c r="E37" s="37" t="n"/>
      <c r="F37" s="36" t="n"/>
      <c r="G37" s="27" t="n"/>
      <c r="H37" s="36" t="n"/>
      <c r="I37" s="36" t="n"/>
      <c r="J37" s="27" t="n"/>
    </row>
    <row r="38">
      <c r="A38" s="35" t="n">
        <v>35</v>
      </c>
      <c r="B38" s="27" t="n"/>
      <c r="C38" s="27" t="n"/>
      <c r="D38" s="36" t="n"/>
      <c r="E38" s="37" t="n"/>
      <c r="F38" s="36" t="n"/>
      <c r="G38" s="27" t="n"/>
      <c r="H38" s="36" t="n"/>
      <c r="I38" s="36" t="n"/>
      <c r="J38" s="27" t="n"/>
    </row>
    <row r="39">
      <c r="A39" s="35" t="n">
        <v>36</v>
      </c>
      <c r="B39" s="27" t="n"/>
      <c r="C39" s="27" t="n"/>
      <c r="D39" s="36" t="n"/>
      <c r="E39" s="37" t="n"/>
      <c r="F39" s="36" t="n"/>
      <c r="G39" s="27" t="n"/>
      <c r="H39" s="36" t="n"/>
      <c r="I39" s="36" t="n"/>
      <c r="J39" s="27" t="n"/>
    </row>
    <row r="40">
      <c r="A40" s="35" t="n">
        <v>37</v>
      </c>
      <c r="B40" s="27" t="n"/>
      <c r="C40" s="27" t="n"/>
      <c r="D40" s="36" t="n"/>
      <c r="E40" s="37" t="n"/>
      <c r="F40" s="36" t="n"/>
      <c r="G40" s="27" t="n"/>
      <c r="H40" s="36" t="n"/>
      <c r="I40" s="36" t="n"/>
      <c r="J40" s="27" t="n"/>
    </row>
    <row r="41">
      <c r="A41" s="35" t="n">
        <v>38</v>
      </c>
      <c r="B41" s="27" t="n"/>
      <c r="C41" s="27" t="n"/>
      <c r="D41" s="36" t="n"/>
      <c r="E41" s="37" t="n"/>
      <c r="F41" s="36" t="n"/>
      <c r="G41" s="27" t="n"/>
      <c r="H41" s="36" t="n"/>
      <c r="I41" s="36" t="n"/>
      <c r="J41" s="27" t="n"/>
    </row>
    <row r="42">
      <c r="A42" s="35" t="n">
        <v>39</v>
      </c>
      <c r="B42" s="27" t="n"/>
      <c r="C42" s="27" t="n"/>
      <c r="D42" s="36" t="n"/>
      <c r="E42" s="37" t="n"/>
      <c r="F42" s="36" t="n"/>
      <c r="G42" s="27" t="n"/>
      <c r="H42" s="36" t="n"/>
      <c r="I42" s="36" t="n"/>
      <c r="J42" s="27" t="n"/>
    </row>
    <row r="43">
      <c r="A43" s="35" t="n">
        <v>40</v>
      </c>
      <c r="B43" s="27" t="n"/>
      <c r="C43" s="27" t="n"/>
      <c r="D43" s="36" t="n"/>
      <c r="E43" s="37" t="n"/>
      <c r="F43" s="36" t="n"/>
      <c r="G43" s="27" t="n"/>
      <c r="H43" s="36" t="n"/>
      <c r="I43" s="36" t="n"/>
      <c r="J43" s="27" t="n"/>
    </row>
    <row r="44">
      <c r="A44" s="35" t="n">
        <v>41</v>
      </c>
      <c r="B44" s="27" t="n"/>
      <c r="C44" s="27" t="n"/>
      <c r="D44" s="36" t="n"/>
      <c r="E44" s="37" t="n"/>
      <c r="F44" s="36" t="n"/>
      <c r="G44" s="27" t="n"/>
      <c r="H44" s="36" t="n"/>
      <c r="I44" s="36" t="n"/>
      <c r="J44" s="27" t="n"/>
    </row>
    <row r="45">
      <c r="A45" s="35" t="n">
        <v>42</v>
      </c>
      <c r="B45" s="27" t="n"/>
      <c r="C45" s="27" t="n"/>
      <c r="D45" s="36" t="n"/>
      <c r="E45" s="37" t="n"/>
      <c r="F45" s="36" t="n"/>
      <c r="G45" s="27" t="n"/>
      <c r="H45" s="36" t="n"/>
      <c r="I45" s="36" t="n"/>
      <c r="J45" s="27" t="n"/>
    </row>
    <row r="46">
      <c r="A46" s="35" t="n">
        <v>43</v>
      </c>
      <c r="B46" s="27" t="n"/>
      <c r="C46" s="27" t="n"/>
      <c r="D46" s="36" t="n"/>
      <c r="E46" s="37" t="n"/>
      <c r="F46" s="36" t="n"/>
      <c r="G46" s="27" t="n"/>
      <c r="H46" s="36" t="n"/>
      <c r="I46" s="36" t="n"/>
      <c r="J46" s="27" t="n"/>
    </row>
    <row r="47">
      <c r="A47" s="35" t="n">
        <v>44</v>
      </c>
      <c r="B47" s="27" t="n"/>
      <c r="C47" s="27" t="n"/>
      <c r="D47" s="36" t="n"/>
      <c r="E47" s="37" t="n"/>
      <c r="F47" s="36" t="n"/>
      <c r="G47" s="27" t="n"/>
      <c r="H47" s="36" t="n"/>
      <c r="I47" s="36" t="n"/>
      <c r="J47" s="27" t="n"/>
    </row>
    <row r="48">
      <c r="A48" s="35" t="n">
        <v>45</v>
      </c>
      <c r="B48" s="27" t="n"/>
      <c r="C48" s="27" t="n"/>
      <c r="D48" s="36" t="n"/>
      <c r="E48" s="37" t="n"/>
      <c r="F48" s="36" t="n"/>
      <c r="G48" s="27" t="n"/>
      <c r="H48" s="36" t="n"/>
      <c r="I48" s="36" t="n"/>
      <c r="J48" s="27" t="n"/>
    </row>
    <row r="49">
      <c r="A49" s="35" t="n">
        <v>46</v>
      </c>
      <c r="B49" s="27" t="n"/>
      <c r="C49" s="27" t="n"/>
      <c r="D49" s="36" t="n"/>
      <c r="E49" s="37" t="n"/>
      <c r="F49" s="36" t="n"/>
      <c r="G49" s="27" t="n"/>
      <c r="H49" s="36" t="n"/>
      <c r="I49" s="36" t="n"/>
      <c r="J49" s="27" t="n"/>
    </row>
    <row r="50">
      <c r="A50" s="35" t="n">
        <v>47</v>
      </c>
      <c r="B50" s="27" t="n"/>
      <c r="C50" s="27" t="n"/>
      <c r="D50" s="36" t="n"/>
      <c r="E50" s="37" t="n"/>
      <c r="F50" s="36" t="n"/>
      <c r="G50" s="27" t="n"/>
      <c r="H50" s="36" t="n"/>
      <c r="I50" s="36" t="n"/>
      <c r="J50" s="27" t="n"/>
    </row>
    <row r="51">
      <c r="A51" s="35" t="n">
        <v>48</v>
      </c>
      <c r="B51" s="27" t="n"/>
      <c r="C51" s="27" t="n"/>
      <c r="D51" s="36" t="n"/>
      <c r="E51" s="37" t="n"/>
      <c r="F51" s="36" t="n"/>
      <c r="G51" s="27" t="n"/>
      <c r="H51" s="36" t="n"/>
      <c r="I51" s="36" t="n"/>
      <c r="J51" s="27" t="n"/>
    </row>
    <row r="52">
      <c r="A52" s="35" t="n">
        <v>49</v>
      </c>
      <c r="B52" s="27" t="n"/>
      <c r="C52" s="27" t="n"/>
      <c r="D52" s="36" t="n"/>
      <c r="E52" s="37" t="n"/>
      <c r="F52" s="36" t="n"/>
      <c r="G52" s="27" t="n"/>
      <c r="H52" s="36" t="n"/>
      <c r="I52" s="36" t="n"/>
      <c r="J52" s="27" t="n"/>
    </row>
    <row r="53">
      <c r="A53" s="35" t="n">
        <v>50</v>
      </c>
      <c r="B53" s="27" t="n"/>
      <c r="C53" s="27" t="n"/>
      <c r="D53" s="36" t="n"/>
      <c r="E53" s="37" t="n"/>
      <c r="F53" s="36" t="n"/>
      <c r="G53" s="27" t="n"/>
      <c r="H53" s="36" t="n"/>
      <c r="I53" s="36" t="n"/>
      <c r="J53" s="27" t="n"/>
    </row>
    <row r="54">
      <c r="A54" s="35" t="n">
        <v>51</v>
      </c>
      <c r="B54" s="27" t="n"/>
      <c r="C54" s="27" t="n"/>
      <c r="D54" s="36" t="n"/>
      <c r="E54" s="37" t="n"/>
      <c r="F54" s="36" t="n"/>
      <c r="G54" s="27" t="n"/>
      <c r="H54" s="36" t="n"/>
      <c r="I54" s="36" t="n"/>
      <c r="J54" s="27" t="n"/>
    </row>
    <row r="55">
      <c r="A55" s="35" t="n">
        <v>52</v>
      </c>
      <c r="B55" s="27" t="n"/>
      <c r="C55" s="27" t="n"/>
      <c r="D55" s="36" t="n"/>
      <c r="E55" s="37" t="n"/>
      <c r="F55" s="36" t="n"/>
      <c r="G55" s="27" t="n"/>
      <c r="H55" s="36" t="n"/>
      <c r="I55" s="36" t="n"/>
      <c r="J55" s="27" t="n"/>
    </row>
    <row r="56">
      <c r="A56" s="35" t="n">
        <v>53</v>
      </c>
      <c r="B56" s="27" t="n"/>
      <c r="C56" s="27" t="n"/>
      <c r="D56" s="36" t="n"/>
      <c r="E56" s="37" t="n"/>
      <c r="F56" s="36" t="n"/>
      <c r="G56" s="27" t="n"/>
      <c r="H56" s="36" t="n"/>
      <c r="I56" s="36" t="n"/>
      <c r="J56" s="27" t="n"/>
    </row>
    <row r="57">
      <c r="A57" s="35" t="n">
        <v>54</v>
      </c>
      <c r="B57" s="27" t="n"/>
      <c r="C57" s="27" t="n"/>
      <c r="D57" s="36" t="n"/>
      <c r="E57" s="37" t="n"/>
      <c r="F57" s="36" t="n"/>
      <c r="G57" s="27" t="n"/>
      <c r="H57" s="36" t="n"/>
      <c r="I57" s="36" t="n"/>
      <c r="J57" s="27" t="n"/>
    </row>
    <row r="58">
      <c r="A58" s="35" t="n">
        <v>55</v>
      </c>
      <c r="B58" s="27" t="n"/>
      <c r="C58" s="27" t="n"/>
      <c r="D58" s="36" t="n"/>
      <c r="E58" s="37" t="n"/>
      <c r="F58" s="36" t="n"/>
      <c r="G58" s="27" t="n"/>
      <c r="H58" s="36" t="n"/>
      <c r="I58" s="36" t="n"/>
      <c r="J58" s="27" t="n"/>
    </row>
    <row r="59">
      <c r="A59" s="35" t="n">
        <v>56</v>
      </c>
      <c r="B59" s="27" t="n"/>
      <c r="C59" s="27" t="n"/>
      <c r="D59" s="36" t="n"/>
      <c r="E59" s="37" t="n"/>
      <c r="F59" s="36" t="n"/>
      <c r="G59" s="27" t="n"/>
      <c r="H59" s="36" t="n"/>
      <c r="I59" s="36" t="n"/>
      <c r="J59" s="27" t="n"/>
    </row>
    <row r="60">
      <c r="A60" s="35" t="n">
        <v>57</v>
      </c>
      <c r="B60" s="27" t="n"/>
      <c r="C60" s="27" t="n"/>
      <c r="D60" s="36" t="n"/>
      <c r="E60" s="37" t="n"/>
      <c r="F60" s="36" t="n"/>
      <c r="G60" s="27" t="n"/>
      <c r="H60" s="36" t="n"/>
      <c r="I60" s="36" t="n"/>
      <c r="J60" s="27" t="n"/>
    </row>
    <row r="61">
      <c r="A61" s="35" t="n">
        <v>58</v>
      </c>
      <c r="B61" s="27" t="n"/>
      <c r="C61" s="27" t="n"/>
      <c r="D61" s="36" t="n"/>
      <c r="E61" s="37" t="n"/>
      <c r="F61" s="36" t="n"/>
      <c r="G61" s="27" t="n"/>
      <c r="H61" s="36" t="n"/>
      <c r="I61" s="36" t="n"/>
      <c r="J61" s="27" t="n"/>
    </row>
    <row r="62">
      <c r="A62" s="35" t="n">
        <v>59</v>
      </c>
      <c r="B62" s="27" t="n"/>
      <c r="C62" s="27" t="n"/>
      <c r="D62" s="36" t="n"/>
      <c r="E62" s="37" t="n"/>
      <c r="F62" s="36" t="n"/>
      <c r="G62" s="27" t="n"/>
      <c r="H62" s="36" t="n"/>
      <c r="I62" s="36" t="n"/>
      <c r="J62" s="27" t="n"/>
    </row>
    <row r="63">
      <c r="A63" s="35" t="n">
        <v>60</v>
      </c>
      <c r="B63" s="27" t="n"/>
      <c r="C63" s="27" t="n"/>
      <c r="D63" s="36" t="n"/>
      <c r="E63" s="37" t="n"/>
      <c r="F63" s="36" t="n"/>
      <c r="G63" s="27" t="n"/>
      <c r="H63" s="36" t="n"/>
      <c r="I63" s="36" t="n"/>
      <c r="J63" s="27" t="n"/>
    </row>
    <row r="65" ht="20" customHeight="1">
      <c r="A65" s="3" t="inlineStr">
        <is>
          <t>단계별 집계 (자동)</t>
        </is>
      </c>
    </row>
    <row r="66" ht="34" customHeight="1">
      <c r="A66" s="4" t="inlineStr">
        <is>
          <t>구분</t>
        </is>
      </c>
      <c r="B66" s="4" t="inlineStr">
        <is>
          <t>인원(명)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</row>
    <row r="67">
      <c r="A67" s="19" t="inlineStr">
        <is>
          <t>육성 미시작</t>
        </is>
      </c>
      <c r="B67" s="38">
        <f>COUNTIFS($F$4:$F$63,"미시작")</f>
        <v/>
      </c>
    </row>
    <row r="68">
      <c r="A68" s="19" t="inlineStr">
        <is>
          <t>육성 중 (교육중)</t>
        </is>
      </c>
      <c r="B68" s="38">
        <f>COUNTIFS($F$4:$F$63,"교육중")</f>
        <v/>
      </c>
    </row>
    <row r="69">
      <c r="A69" s="19" t="inlineStr">
        <is>
          <t>단독 투입 가능</t>
        </is>
      </c>
      <c r="B69" s="38">
        <f>COUNTIFS($F$4:$F$63,"단독가능")</f>
        <v/>
      </c>
    </row>
    <row r="70">
      <c r="A70" s="19" t="inlineStr">
        <is>
          <t>숙련(다능공)</t>
        </is>
      </c>
      <c r="B70" s="38">
        <f>COUNTIFS($F$4:$F$63,"숙련(다능공)")</f>
        <v/>
      </c>
    </row>
    <row r="71">
      <c r="A71" s="19" t="inlineStr">
        <is>
          <t>충원 중 (입사예정)</t>
        </is>
      </c>
      <c r="B71" s="38">
        <f>COUNTIFS($D$4:$D$63,"충원예정")</f>
        <v/>
      </c>
    </row>
  </sheetData>
  <mergeCells count="2">
    <mergeCell ref="A1:J1"/>
    <mergeCell ref="A65:J65"/>
  </mergeCells>
  <dataValidations count="4">
    <dataValidation sqref="F4:F63" showDropDown="0" showInputMessage="0" showErrorMessage="0" allowBlank="1" type="list">
      <formula1>"미시작,교육중,단독가능,숙련(다능공)"</formula1>
    </dataValidation>
    <dataValidation sqref="D4:D63 I4:I63" showDropDown="0" showInputMessage="0" showErrorMessage="0" allowBlank="1" type="list">
      <formula1>"정규,무기계약직,촉탁직,계약직,일용,충원예정"</formula1>
    </dataValidation>
    <dataValidation sqref="D4:D63 I4:I63" showDropDown="0" showInputMessage="0" showErrorMessage="0" allowBlank="1" type="list">
      <formula1>"정규,무기계약직,촉탁직,계약직,일용,충원예정"</formula1>
    </dataValidation>
    <dataValidation sqref="H4:H63" showDropDown="0" showInputMessage="0" showErrorMessage="0" allowBlank="1" type="list">
      <formula1>"2026-09,2026-10,2026-11,2026-12,2027-01,2027-02"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5" customWidth="1" min="4" max="4"/>
    <col width="13" customWidth="1" min="5" max="5"/>
    <col width="17" customWidth="1" min="6" max="6"/>
    <col width="18" customWidth="1" min="7" max="7"/>
    <col width="14" customWidth="1" min="8" max="8"/>
    <col width="13" customWidth="1" min="9" max="9"/>
  </cols>
  <sheetData>
    <row r="1" ht="26" customHeight="1">
      <c r="A1" s="1" t="inlineStr">
        <is>
          <t>월별 OP 보유 · 전체 인원 추이 계획</t>
        </is>
      </c>
    </row>
    <row r="2">
      <c r="A2" s="2" t="inlineStr">
        <is>
          <t>AP 요구② 의 최종 산출물. 전환 인원은 [2.OP육성전환계획]에서 자동 집계. 기초값·이탈·충원만 입력.</t>
        </is>
      </c>
    </row>
    <row r="4" ht="20" customHeight="1">
      <c r="A4" s="3" t="inlineStr">
        <is>
          <t>① 월별 추이</t>
        </is>
      </c>
    </row>
    <row r="5" ht="34" customHeight="1">
      <c r="A5" s="4" t="inlineStr">
        <is>
          <t>월</t>
        </is>
      </c>
      <c r="B5" s="4" t="inlineStr">
        <is>
          <t>기초 OP 보유(명)</t>
        </is>
      </c>
      <c r="C5" s="4" t="inlineStr">
        <is>
          <t>신규 전환(+)
[자동]</t>
        </is>
      </c>
      <c r="D5" s="4" t="inlineStr">
        <is>
          <t>충원 입사(+)</t>
        </is>
      </c>
      <c r="E5" s="4" t="inlineStr">
        <is>
          <t>이탈(-)</t>
        </is>
      </c>
      <c r="F5" s="4" t="inlineStr">
        <is>
          <t>기말 OP 보유(명)</t>
        </is>
      </c>
      <c r="G5" s="4" t="inlineStr">
        <is>
          <t>기말 전체 인원(명)</t>
        </is>
      </c>
      <c r="H5" s="4" t="inlineStr">
        <is>
          <t>필요 OP(명)</t>
        </is>
      </c>
      <c r="I5" s="4" t="inlineStr">
        <is>
          <t>과부족(명)</t>
        </is>
      </c>
    </row>
    <row r="6">
      <c r="A6" s="16" t="inlineStr">
        <is>
          <t>2026-09</t>
        </is>
      </c>
      <c r="B6" s="13" t="n"/>
      <c r="C6" s="12">
        <f>COUNTIFS('2.OP육성전환계획'!$H$4:$H$63,$A6)</f>
        <v/>
      </c>
      <c r="D6" s="13" t="n"/>
      <c r="E6" s="13" t="n"/>
      <c r="F6" s="20">
        <f>B6+C6+D6-E6</f>
        <v/>
      </c>
      <c r="G6" s="13" t="n"/>
      <c r="H6" s="13" t="n"/>
      <c r="I6" s="38">
        <f>F6-H6</f>
        <v/>
      </c>
    </row>
    <row r="7">
      <c r="A7" s="16" t="inlineStr">
        <is>
          <t>2026-10</t>
        </is>
      </c>
      <c r="B7" s="12">
        <f>F6</f>
        <v/>
      </c>
      <c r="C7" s="12">
        <f>COUNTIFS('2.OP육성전환계획'!$H$4:$H$63,$A7)</f>
        <v/>
      </c>
      <c r="D7" s="13" t="n"/>
      <c r="E7" s="13" t="n"/>
      <c r="F7" s="20">
        <f>B7+C7+D7-E7</f>
        <v/>
      </c>
      <c r="G7" s="13" t="n"/>
      <c r="H7" s="13" t="n"/>
      <c r="I7" s="38">
        <f>F7-H7</f>
        <v/>
      </c>
    </row>
    <row r="8">
      <c r="A8" s="16" t="inlineStr">
        <is>
          <t>2026-11</t>
        </is>
      </c>
      <c r="B8" s="12">
        <f>F7</f>
        <v/>
      </c>
      <c r="C8" s="12">
        <f>COUNTIFS('2.OP육성전환계획'!$H$4:$H$63,$A8)</f>
        <v/>
      </c>
      <c r="D8" s="13" t="n"/>
      <c r="E8" s="13" t="n"/>
      <c r="F8" s="20">
        <f>B8+C8+D8-E8</f>
        <v/>
      </c>
      <c r="G8" s="13" t="n"/>
      <c r="H8" s="13" t="n"/>
      <c r="I8" s="38">
        <f>F8-H8</f>
        <v/>
      </c>
    </row>
    <row r="9">
      <c r="A9" s="16" t="inlineStr">
        <is>
          <t>2026-12</t>
        </is>
      </c>
      <c r="B9" s="12">
        <f>F8</f>
        <v/>
      </c>
      <c r="C9" s="12">
        <f>COUNTIFS('2.OP육성전환계획'!$H$4:$H$63,$A9)</f>
        <v/>
      </c>
      <c r="D9" s="13" t="n"/>
      <c r="E9" s="13" t="n"/>
      <c r="F9" s="20">
        <f>B9+C9+D9-E9</f>
        <v/>
      </c>
      <c r="G9" s="13" t="n"/>
      <c r="H9" s="13" t="n"/>
      <c r="I9" s="38">
        <f>F9-H9</f>
        <v/>
      </c>
    </row>
    <row r="10">
      <c r="A10" s="16" t="inlineStr">
        <is>
          <t>2027-01</t>
        </is>
      </c>
      <c r="B10" s="12">
        <f>F9</f>
        <v/>
      </c>
      <c r="C10" s="12">
        <f>COUNTIFS('2.OP육성전환계획'!$H$4:$H$63,$A10)</f>
        <v/>
      </c>
      <c r="D10" s="13" t="n"/>
      <c r="E10" s="13" t="n"/>
      <c r="F10" s="20">
        <f>B10+C10+D10-E10</f>
        <v/>
      </c>
      <c r="G10" s="13" t="n"/>
      <c r="H10" s="13" t="n"/>
      <c r="I10" s="38">
        <f>F10-H10</f>
        <v/>
      </c>
    </row>
    <row r="11">
      <c r="A11" s="16" t="inlineStr">
        <is>
          <t>2027-02</t>
        </is>
      </c>
      <c r="B11" s="12">
        <f>F10</f>
        <v/>
      </c>
      <c r="C11" s="12">
        <f>COUNTIFS('2.OP육성전환계획'!$H$4:$H$63,$A11)</f>
        <v/>
      </c>
      <c r="D11" s="13" t="n"/>
      <c r="E11" s="13" t="n"/>
      <c r="F11" s="20">
        <f>B11+C11+D11-E11</f>
        <v/>
      </c>
      <c r="G11" s="13" t="n"/>
      <c r="H11" s="13" t="n"/>
      <c r="I11" s="38">
        <f>F11-H11</f>
        <v/>
      </c>
    </row>
    <row r="13">
      <c r="A13" s="2" t="inlineStr">
        <is>
          <t>※ 2026-09 기초 OP 보유(B6)는 8/31 실적치를 입력. 이후 월은 전월 기말이 자동 연결됨.</t>
        </is>
      </c>
    </row>
    <row r="14">
      <c r="A14" s="2" t="inlineStr">
        <is>
          <t>※ H열 필요 OP는 [4.소요인원시뮬] 시나리오와 일치시킬 것. I열이 음수면 그 달의 부족 인원.</t>
        </is>
      </c>
    </row>
    <row r="16" ht="20" customHeight="1">
      <c r="A16" s="3" t="inlineStr">
        <is>
          <t>② 요약 문장 (AP 보고용)</t>
        </is>
      </c>
    </row>
    <row r="17" ht="24" customHeight="1">
      <c r="A17" s="39">
        <f>"현재 육성 중 "&amp;TEXT('2.OP육성전환계획'!$B$68,"0")&amp;"명, 충원 중 "&amp;TEXT('2.OP육성전환계획'!$B$71,"0")&amp;"명. "&amp;$A$11&amp;" 기준 보유 OP "&amp;TEXT($F$11,"0")&amp;"명 / 전체 인원 "&amp;TEXT($G$11,"0")&amp;"명 전망."</f>
        <v/>
      </c>
    </row>
  </sheetData>
  <mergeCells count="4">
    <mergeCell ref="A1:I1"/>
    <mergeCell ref="A17:I17"/>
    <mergeCell ref="A4:I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17" customWidth="1" min="4" max="4"/>
    <col width="17" customWidth="1" min="5" max="5"/>
    <col width="15" customWidth="1" min="6" max="6"/>
    <col width="15" customWidth="1" min="7" max="7"/>
    <col width="15" customWidth="1" min="8" max="8"/>
    <col width="15" customWidth="1" min="9" max="9"/>
    <col width="14" customWidth="1" min="10" max="10"/>
  </cols>
  <sheetData>
    <row r="1" ht="26" customHeight="1">
      <c r="A1" s="1" t="inlineStr">
        <is>
          <t>소요인원 시뮬레이션 — 에버리지 / +10% / 맥스</t>
        </is>
      </c>
    </row>
    <row r="2">
      <c r="A2" s="2" t="inlineStr">
        <is>
          <t>AP 지원팀이 지정한 협의 프레임. ①라인별 소요 → ②시나리오별 부족 → ③충당 수단 → ④잔여만 충원 요청.</t>
        </is>
      </c>
    </row>
    <row r="4" ht="20" customHeight="1">
      <c r="A4" s="3" t="inlineStr">
        <is>
          <t>① 라인별 가동 대수 및 소요 OP</t>
        </is>
      </c>
    </row>
    <row r="5" ht="34" customHeight="1">
      <c r="A5" s="4" t="inlineStr">
        <is>
          <t>라인</t>
        </is>
      </c>
      <c r="B5" s="4" t="inlineStr">
        <is>
          <t>대당 필요 OP(명)</t>
        </is>
      </c>
      <c r="C5" s="4" t="inlineStr">
        <is>
          <t>현행
가동대수</t>
        </is>
      </c>
      <c r="D5" s="4" t="inlineStr">
        <is>
          <t>현행
소요 OP</t>
        </is>
      </c>
      <c r="E5" s="4" t="inlineStr">
        <is>
          <t>+10% 물량
가동대수</t>
        </is>
      </c>
      <c r="F5" s="4" t="inlineStr">
        <is>
          <t>+10%
소요 OP</t>
        </is>
      </c>
      <c r="G5" s="4" t="inlineStr">
        <is>
          <t>맥스
가동대수</t>
        </is>
      </c>
      <c r="H5" s="4" t="inlineStr">
        <is>
          <t>맥스
소요 OP</t>
        </is>
      </c>
      <c r="I5" s="4" t="inlineStr">
        <is>
          <t>비고</t>
        </is>
      </c>
    </row>
    <row r="6">
      <c r="A6" s="19" t="inlineStr">
        <is>
          <t>튜브</t>
        </is>
      </c>
      <c r="B6" s="40" t="n"/>
      <c r="C6" s="40" t="n"/>
      <c r="D6" s="12">
        <f>IF(OR($B6="",$C6=""),"",ROUND($B6*$C6,0))</f>
        <v/>
      </c>
      <c r="E6" s="40" t="n"/>
      <c r="F6" s="12">
        <f>IF(OR($B6="",$E6=""),"",ROUND($B6*$E6,0))</f>
        <v/>
      </c>
      <c r="G6" s="40" t="n"/>
      <c r="H6" s="12">
        <f>IF(OR($B6="",$G6=""),"",ROUND($B6*$G6,0))</f>
        <v/>
      </c>
      <c r="I6" s="41" t="inlineStr">
        <is>
          <t>포장팀 요구: 6대 교대 (현행 대비 +3대)</t>
        </is>
      </c>
    </row>
    <row r="7">
      <c r="A7" s="19" t="inlineStr">
        <is>
          <t>직선</t>
        </is>
      </c>
      <c r="B7" s="40" t="n"/>
      <c r="C7" s="40" t="n"/>
      <c r="D7" s="12">
        <f>IF(OR($B7="",$C7=""),"",ROUND($B7*$C7,0))</f>
        <v/>
      </c>
      <c r="E7" s="40" t="n"/>
      <c r="F7" s="12">
        <f>IF(OR($B7="",$E7=""),"",ROUND($B7*$E7,0))</f>
        <v/>
      </c>
      <c r="G7" s="40" t="n"/>
      <c r="H7" s="12">
        <f>IF(OR($B7="",$G7=""),"",ROUND($B7*$G7,0))</f>
        <v/>
      </c>
      <c r="I7" s="41" t="inlineStr">
        <is>
          <t>포장팀 요구: +2대</t>
        </is>
      </c>
    </row>
    <row r="8">
      <c r="A8" s="19" t="inlineStr">
        <is>
          <t>치약</t>
        </is>
      </c>
      <c r="B8" s="40" t="n"/>
      <c r="C8" s="40" t="n"/>
      <c r="D8" s="12">
        <f>IF(OR($B8="",$C8=""),"",ROUND($B8*$C8,0))</f>
        <v/>
      </c>
      <c r="E8" s="40" t="n"/>
      <c r="F8" s="12">
        <f>IF(OR($B8="",$E8=""),"",ROUND($B8*$E8,0))</f>
        <v/>
      </c>
      <c r="G8" s="40" t="n"/>
      <c r="H8" s="12">
        <f>IF(OR($B8="",$G8=""),"",ROUND($B8*$G8,0))</f>
        <v/>
      </c>
      <c r="I8" s="41" t="inlineStr">
        <is>
          <t>크로스트레이닝 공급원 후보</t>
        </is>
      </c>
    </row>
    <row r="9">
      <c r="A9" s="19" t="inlineStr">
        <is>
          <t>염모</t>
        </is>
      </c>
      <c r="B9" s="40" t="n"/>
      <c r="C9" s="40" t="n"/>
      <c r="D9" s="12">
        <f>IF(OR($B9="",$C9=""),"",ROUND($B9*$C9,0))</f>
        <v/>
      </c>
      <c r="E9" s="40" t="n"/>
      <c r="F9" s="12">
        <f>IF(OR($B9="",$E9=""),"",ROUND($B9*$E9,0))</f>
        <v/>
      </c>
      <c r="G9" s="40" t="n"/>
      <c r="H9" s="12">
        <f>IF(OR($B9="",$G9=""),"",ROUND($B9*$G9,0))</f>
        <v/>
      </c>
      <c r="I9" s="41" t="inlineStr">
        <is>
          <t>외주화 검토 대상</t>
        </is>
      </c>
    </row>
    <row r="10">
      <c r="A10" s="19" t="inlineStr">
        <is>
          <t>멀티</t>
        </is>
      </c>
      <c r="B10" s="40" t="n"/>
      <c r="C10" s="40" t="n"/>
      <c r="D10" s="12">
        <f>IF(OR($B10="",$C10=""),"",ROUND($B10*$C10,0))</f>
        <v/>
      </c>
      <c r="E10" s="40" t="n"/>
      <c r="F10" s="12">
        <f>IF(OR($B10="",$E10=""),"",ROUND($B10*$E10,0))</f>
        <v/>
      </c>
      <c r="G10" s="40" t="n"/>
      <c r="H10" s="12">
        <f>IF(OR($B10="",$G10=""),"",ROUND($B10*$G10,0))</f>
        <v/>
      </c>
      <c r="I10" s="41" t="inlineStr"/>
    </row>
    <row r="11">
      <c r="A11" s="19" t="inlineStr">
        <is>
          <t>기타</t>
        </is>
      </c>
      <c r="B11" s="40" t="n"/>
      <c r="C11" s="40" t="n"/>
      <c r="D11" s="12">
        <f>IF(OR($B11="",$C11=""),"",ROUND($B11*$C11,0))</f>
        <v/>
      </c>
      <c r="E11" s="40" t="n"/>
      <c r="F11" s="12">
        <f>IF(OR($B11="",$E11=""),"",ROUND($B11*$E11,0))</f>
        <v/>
      </c>
      <c r="G11" s="40" t="n"/>
      <c r="H11" s="12">
        <f>IF(OR($B11="",$G11=""),"",ROUND($B11*$G11,0))</f>
        <v/>
      </c>
      <c r="I11" s="41" t="inlineStr"/>
    </row>
    <row r="12">
      <c r="A12" s="19" t="inlineStr">
        <is>
          <t>소요 OP 합계</t>
        </is>
      </c>
      <c r="B12" s="21" t="inlineStr"/>
      <c r="C12" s="21" t="inlineStr"/>
      <c r="D12" s="20">
        <f>SUM(D6:D11)</f>
        <v/>
      </c>
      <c r="E12" s="21" t="inlineStr"/>
      <c r="F12" s="20">
        <f>SUM(F6:F11)</f>
        <v/>
      </c>
      <c r="G12" s="21" t="inlineStr"/>
      <c r="H12" s="20">
        <f>SUM(H6:H11)</f>
        <v/>
      </c>
      <c r="I12" s="21" t="inlineStr"/>
    </row>
    <row r="14" ht="20" customHeight="1">
      <c r="A14" s="3" t="inlineStr">
        <is>
          <t>② 시나리오별 소요 · 보유 · 부족</t>
        </is>
      </c>
    </row>
    <row r="15" ht="34" customHeight="1">
      <c r="A15" s="4" t="inlineStr">
        <is>
          <t>시나리오</t>
        </is>
      </c>
      <c r="B15" s="4" t="inlineStr">
        <is>
          <t>소요 OP(명)</t>
        </is>
      </c>
      <c r="C15" s="4" t="inlineStr">
        <is>
          <t>현 보유 OP(명)</t>
        </is>
      </c>
      <c r="D15" s="4" t="inlineStr">
        <is>
          <t>부족(명)</t>
        </is>
      </c>
      <c r="E15" s="4" t="inlineStr">
        <is>
          <t>비고</t>
        </is>
      </c>
    </row>
    <row r="16">
      <c r="A16" s="9" t="inlineStr">
        <is>
          <t>A. 현행 (에버리지)</t>
        </is>
      </c>
      <c r="B16" s="12">
        <f>D12</f>
        <v/>
      </c>
      <c r="C16" s="12">
        <f>'3.월별인원추이'!$B$6</f>
        <v/>
      </c>
      <c r="D16" s="42">
        <f>$B16-$C16</f>
        <v/>
      </c>
      <c r="E16" s="41" t="inlineStr">
        <is>
          <t>AP 지원팀·포장팀 합의 기준선</t>
        </is>
      </c>
      <c r="F16" s="14" t="n"/>
      <c r="G16" s="14" t="n"/>
      <c r="H16" s="14" t="n"/>
      <c r="I16" s="15" t="n"/>
    </row>
    <row r="17">
      <c r="A17" s="9" t="inlineStr">
        <is>
          <t>B. 물량 +10%</t>
        </is>
      </c>
      <c r="B17" s="12">
        <f>F12</f>
        <v/>
      </c>
      <c r="C17" s="12">
        <f>'3.월별인원추이'!$B$6</f>
        <v/>
      </c>
      <c r="D17" s="42">
        <f>$B17-$C17</f>
        <v/>
      </c>
      <c r="E17" s="41" t="inlineStr">
        <is>
          <t>김상은 요청 — '10% 늘어나면 얼마나 부족한지'</t>
        </is>
      </c>
      <c r="F17" s="14" t="n"/>
      <c r="G17" s="14" t="n"/>
      <c r="H17" s="14" t="n"/>
      <c r="I17" s="15" t="n"/>
    </row>
    <row r="18">
      <c r="A18" s="9" t="inlineStr">
        <is>
          <t>C. 맥스 (튜브 6대·직선 +2대)</t>
        </is>
      </c>
      <c r="B18" s="12">
        <f>H12</f>
        <v/>
      </c>
      <c r="C18" s="12">
        <f>'3.월별인원추이'!$B$6</f>
        <v/>
      </c>
      <c r="D18" s="42">
        <f>$B18-$C18</f>
        <v/>
      </c>
      <c r="E18" s="41" t="inlineStr">
        <is>
          <t>포장팀 전략 방향. 충원 근거로 단독 사용 금지</t>
        </is>
      </c>
      <c r="F18" s="14" t="n"/>
      <c r="G18" s="14" t="n"/>
      <c r="H18" s="14" t="n"/>
      <c r="I18" s="15" t="n"/>
    </row>
    <row r="20" ht="20" customHeight="1">
      <c r="A20" s="3" t="inlineStr">
        <is>
          <t>③ 부족분 충당 수단 (충원 이전에 소진해야 할 카드)</t>
        </is>
      </c>
    </row>
    <row r="21" ht="34" customHeight="1">
      <c r="A21" s="4" t="inlineStr">
        <is>
          <t>충당 수단</t>
        </is>
      </c>
      <c r="B21" s="4" t="inlineStr">
        <is>
          <t>A. 현행</t>
        </is>
      </c>
      <c r="C21" s="4" t="inlineStr">
        <is>
          <t>B. +10%</t>
        </is>
      </c>
      <c r="D21" s="4" t="inlineStr">
        <is>
          <t>C. 맥스</t>
        </is>
      </c>
      <c r="E21" s="4" t="inlineStr">
        <is>
          <t>실행 조건 / 리드타임</t>
        </is>
      </c>
    </row>
    <row r="22">
      <c r="A22" s="9" t="inlineStr">
        <is>
          <t>일용직 투입</t>
        </is>
      </c>
      <c r="B22" s="13" t="n"/>
      <c r="C22" s="13" t="n"/>
      <c r="D22" s="13" t="n"/>
      <c r="E22" s="41" t="inlineStr">
        <is>
          <t>즉시 가능. 단, 단순공정 한정 · 품질 리스크 관리 필요</t>
        </is>
      </c>
      <c r="F22" s="14" t="n"/>
      <c r="G22" s="14" t="n"/>
      <c r="H22" s="14" t="n"/>
      <c r="I22" s="15" t="n"/>
    </row>
    <row r="23">
      <c r="A23" s="9" t="inlineStr">
        <is>
          <t>크로스트레이닝 (치약 → 튜브 등)</t>
        </is>
      </c>
      <c r="B23" s="13" t="n"/>
      <c r="C23" s="13" t="n"/>
      <c r="D23" s="13" t="n"/>
      <c r="E23" s="41" t="inlineStr">
        <is>
          <t>AP 지원팀이 우선 요구하는 수단. 교육 기간 명시 필요</t>
        </is>
      </c>
      <c r="F23" s="14" t="n"/>
      <c r="G23" s="14" t="n"/>
      <c r="H23" s="14" t="n"/>
      <c r="I23" s="15" t="n"/>
    </row>
    <row r="24">
      <c r="A24" s="9" t="inlineStr">
        <is>
          <t>라인 간 재배치</t>
        </is>
      </c>
      <c r="B24" s="13" t="n"/>
      <c r="C24" s="13" t="n"/>
      <c r="D24" s="13" t="n"/>
      <c r="E24" s="41" t="inlineStr">
        <is>
          <t>염모·멀티 인원 전환. 해당 라인 가동 축소 전제</t>
        </is>
      </c>
      <c r="F24" s="14" t="n"/>
      <c r="G24" s="14" t="n"/>
      <c r="H24" s="14" t="n"/>
      <c r="I24" s="15" t="n"/>
    </row>
    <row r="25">
      <c r="A25" s="9" t="inlineStr">
        <is>
          <t>외주화 (염모 등 비주요 오더)</t>
        </is>
      </c>
      <c r="B25" s="13" t="n"/>
      <c r="C25" s="13" t="n"/>
      <c r="D25" s="13" t="n"/>
      <c r="E25" s="41" t="inlineStr">
        <is>
          <t>AP 검토 사항. 단가·품질 협의 선행</t>
        </is>
      </c>
      <c r="F25" s="14" t="n"/>
      <c r="G25" s="14" t="n"/>
      <c r="H25" s="14" t="n"/>
      <c r="I25" s="15" t="n"/>
    </row>
    <row r="26">
      <c r="A26" s="9" t="inlineStr">
        <is>
          <t>휴가 최소화 · 잔업 확대</t>
        </is>
      </c>
      <c r="B26" s="13" t="n"/>
      <c r="C26" s="13" t="n"/>
      <c r="D26" s="13" t="n"/>
      <c r="E26" s="41" t="inlineStr">
        <is>
          <t>단기 한정. 노무 리스크(장시간 근로) 관리 필요</t>
        </is>
      </c>
      <c r="F26" s="14" t="n"/>
      <c r="G26" s="14" t="n"/>
      <c r="H26" s="14" t="n"/>
      <c r="I26" s="15" t="n"/>
    </row>
    <row r="27">
      <c r="A27" s="9" t="inlineStr">
        <is>
          <t>촉탁직 · 계약직 전환 가속</t>
        </is>
      </c>
      <c r="B27" s="13" t="n"/>
      <c r="C27" s="13" t="n"/>
      <c r="D27" s="13" t="n"/>
      <c r="E27" s="41" t="inlineStr">
        <is>
          <t>3개월 요건 및 평가 절차 준수</t>
        </is>
      </c>
      <c r="F27" s="14" t="n"/>
      <c r="G27" s="14" t="n"/>
      <c r="H27" s="14" t="n"/>
      <c r="I27" s="15" t="n"/>
    </row>
    <row r="28">
      <c r="A28" s="19" t="inlineStr">
        <is>
          <t>충당 소계</t>
        </is>
      </c>
      <c r="B28" s="20">
        <f>SUM(B22:B27)</f>
        <v/>
      </c>
      <c r="C28" s="20">
        <f>SUM(C22:C27)</f>
        <v/>
      </c>
      <c r="D28" s="20">
        <f>SUM(D22:D27)</f>
        <v/>
      </c>
      <c r="E28" s="21" t="inlineStr"/>
      <c r="F28" s="14" t="n"/>
      <c r="G28" s="14" t="n"/>
      <c r="H28" s="14" t="n"/>
      <c r="I28" s="15" t="n"/>
    </row>
    <row r="29">
      <c r="A29" s="43" t="inlineStr">
        <is>
          <t>잔여 = 추가 정규 충원 요청(명)</t>
        </is>
      </c>
      <c r="B29" s="44">
        <f>MAX(0,$D$16-B28)</f>
        <v/>
      </c>
      <c r="C29" s="44">
        <f>MAX(0,$D$17-C28)</f>
        <v/>
      </c>
      <c r="D29" s="44">
        <f>MAX(0,$D$18-D28)</f>
        <v/>
      </c>
      <c r="E29" s="45" t="inlineStr">
        <is>
          <t>← AP에 제시할 유일한 충원 숫자. A(에버리지)를 먼저 말하고 C(맥스)는 별도 전략으로 분리</t>
        </is>
      </c>
      <c r="F29" s="14" t="n"/>
      <c r="G29" s="14" t="n"/>
      <c r="H29" s="14" t="n"/>
      <c r="I29" s="15" t="n"/>
    </row>
    <row r="31" ht="20" customHeight="1">
      <c r="A31" s="3" t="inlineStr">
        <is>
          <t>④ 충원 인원별 비용 영향 (임률 35,121원/M·H · 월 209 M·H 기준)</t>
        </is>
      </c>
    </row>
    <row r="32" ht="34" customHeight="1">
      <c r="A32" s="4" t="inlineStr">
        <is>
          <t>구분</t>
        </is>
      </c>
      <c r="B32" s="4" t="inlineStr">
        <is>
          <t>인원(명)</t>
        </is>
      </c>
      <c r="C32" s="4" t="inlineStr">
        <is>
          <t>월 소요 공수(M·H)</t>
        </is>
      </c>
      <c r="D32" s="4" t="inlineStr">
        <is>
          <t>월 환산액(원)</t>
        </is>
      </c>
      <c r="E32" s="4" t="inlineStr">
        <is>
          <t>연 환산액(원)</t>
        </is>
      </c>
      <c r="F32" s="4" t="inlineStr">
        <is>
          <t>비고</t>
        </is>
      </c>
    </row>
    <row r="33">
      <c r="A33" s="9" t="inlineStr">
        <is>
          <t>임률 (원/M·H)</t>
        </is>
      </c>
      <c r="B33" s="11" t="n">
        <v>35121</v>
      </c>
      <c r="C33" s="9" t="inlineStr">
        <is>
          <t>월 기준공수 (M·H/명)</t>
        </is>
      </c>
      <c r="D33" s="11" t="n">
        <v>209</v>
      </c>
      <c r="E33" s="8" t="inlineStr">
        <is>
          <t>AP 대전 BY26 기준. BY27 확정 시 갱신</t>
        </is>
      </c>
      <c r="F33" s="15" t="n"/>
    </row>
    <row r="34">
      <c r="A34" s="9" t="inlineStr">
        <is>
          <t>AP 지원팀 합의안</t>
        </is>
      </c>
      <c r="B34" s="11" t="n">
        <v>6</v>
      </c>
      <c r="C34" s="12">
        <f>$B34*$D$33</f>
        <v/>
      </c>
      <c r="D34" s="12">
        <f>$C34*$B$33</f>
        <v/>
      </c>
      <c r="E34" s="12">
        <f>$D34*12</f>
        <v/>
      </c>
      <c r="F34" s="41" t="inlineStr">
        <is>
          <t>포장팀과 합의된 에버리지 기준</t>
        </is>
      </c>
    </row>
    <row r="35">
      <c r="A35" s="9" t="inlineStr">
        <is>
          <t>제니엘 기존 제시</t>
        </is>
      </c>
      <c r="B35" s="11" t="n">
        <v>12</v>
      </c>
      <c r="C35" s="12">
        <f>$B35*$D$33</f>
        <v/>
      </c>
      <c r="D35" s="12">
        <f>$C35*$B$33</f>
        <v/>
      </c>
      <c r="E35" s="12">
        <f>$D35*12</f>
        <v/>
      </c>
      <c r="F35" s="41" t="inlineStr">
        <is>
          <t>튜브 +1대 · 직선 +1대 시점 산출값</t>
        </is>
      </c>
    </row>
    <row r="36">
      <c r="A36" s="9" t="inlineStr">
        <is>
          <t>본 시뮬 산출 — 에버리지 잔여</t>
        </is>
      </c>
      <c r="B36" s="12">
        <f>$B$29</f>
        <v/>
      </c>
      <c r="C36" s="12">
        <f>$B36*$D$33</f>
        <v/>
      </c>
      <c r="D36" s="12">
        <f>$C36*$B$33</f>
        <v/>
      </c>
      <c r="E36" s="12">
        <f>$D36*12</f>
        <v/>
      </c>
      <c r="F36" s="41" t="inlineStr">
        <is>
          <t>충당 수단 소진 후 잔여</t>
        </is>
      </c>
    </row>
    <row r="37">
      <c r="A37" s="9" t="inlineStr">
        <is>
          <t>본 시뮬 산출 — 맥스 잔여</t>
        </is>
      </c>
      <c r="B37" s="12">
        <f>$D$29</f>
        <v/>
      </c>
      <c r="C37" s="12">
        <f>$B37*$D$33</f>
        <v/>
      </c>
      <c r="D37" s="12">
        <f>$C37*$B$33</f>
        <v/>
      </c>
      <c r="E37" s="12">
        <f>$D37*12</f>
        <v/>
      </c>
      <c r="F37" s="41" t="inlineStr">
        <is>
          <t>맥스 전략 별도 협의용</t>
        </is>
      </c>
    </row>
    <row r="39">
      <c r="A39" s="24" t="inlineStr">
        <is>
          <t>※ 월 환산액 = 해당 인원이 유지되려면 지속 확보돼야 하는 청구 공수 규모. 물량이 이에 미달하면 그 차액이 곧 적자다.</t>
        </is>
      </c>
    </row>
  </sheetData>
  <mergeCells count="17">
    <mergeCell ref="A1:J1"/>
    <mergeCell ref="E26:I26"/>
    <mergeCell ref="E29:I29"/>
    <mergeCell ref="A14:J14"/>
    <mergeCell ref="A31:J31"/>
    <mergeCell ref="E16:I16"/>
    <mergeCell ref="E24:I24"/>
    <mergeCell ref="E25:I25"/>
    <mergeCell ref="E28:I28"/>
    <mergeCell ref="E33:F33"/>
    <mergeCell ref="A4:J4"/>
    <mergeCell ref="E27:I27"/>
    <mergeCell ref="A20:J20"/>
    <mergeCell ref="E23:I23"/>
    <mergeCell ref="E22:I22"/>
    <mergeCell ref="E17:I17"/>
    <mergeCell ref="E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14" customWidth="1" min="4" max="4"/>
    <col width="18" customWidth="1" min="5" max="5"/>
    <col width="18" customWidth="1" min="6" max="6"/>
    <col width="12" customWidth="1" min="7" max="7"/>
    <col width="12" customWidth="1" min="8" max="8"/>
    <col width="26" customWidth="1" min="9" max="9"/>
  </cols>
  <sheetData>
    <row r="1" ht="26" customHeight="1">
      <c r="A1" s="1" t="inlineStr">
        <is>
          <t>단기 대응 현황 — '지금 이렇게 하고 있다'</t>
        </is>
      </c>
    </row>
    <row r="2">
      <c r="A2" s="2" t="inlineStr">
        <is>
          <t>AP 요구③ : 3개월 육성 외에 즉시 가능한 대응을 인원수까지 명시. 이 표가 없으면 '하는지 안 하는지 모른다'로 남는다.</t>
        </is>
      </c>
    </row>
    <row r="4" ht="34" customHeight="1">
      <c r="A4" s="4" t="inlineStr">
        <is>
          <t>No</t>
        </is>
      </c>
      <c r="B4" s="4" t="inlineStr">
        <is>
          <t>대응 항목</t>
        </is>
      </c>
      <c r="C4" s="4" t="inlineStr">
        <is>
          <t>구체 내용</t>
        </is>
      </c>
      <c r="D4" s="4" t="inlineStr">
        <is>
          <t>적용 인원(명)</t>
        </is>
      </c>
      <c r="E4" s="4" t="inlineStr">
        <is>
          <t>적용 기간</t>
        </is>
      </c>
      <c r="F4" s="4" t="inlineStr">
        <is>
          <t>확보 공수(M·H/월)</t>
        </is>
      </c>
      <c r="G4" s="4" t="inlineStr">
        <is>
          <t>상태</t>
        </is>
      </c>
      <c r="H4" s="4" t="inlineStr">
        <is>
          <t>담당</t>
        </is>
      </c>
      <c r="I4" s="4" t="inlineStr">
        <is>
          <t>비고</t>
        </is>
      </c>
    </row>
    <row r="5">
      <c r="A5" s="35" t="n">
        <v>1</v>
      </c>
      <c r="B5" s="27" t="inlineStr">
        <is>
          <t>일용직 충원 확대</t>
        </is>
      </c>
      <c r="C5" s="27" t="n"/>
      <c r="D5" s="13" t="n"/>
      <c r="E5" s="36" t="n"/>
      <c r="F5" s="13" t="n"/>
      <c r="G5" s="36" t="inlineStr">
        <is>
          <t>진행중</t>
        </is>
      </c>
      <c r="H5" s="36" t="n"/>
      <c r="I5" s="27" t="n"/>
    </row>
    <row r="6">
      <c r="A6" s="35" t="n">
        <v>2</v>
      </c>
      <c r="B6" s="27" t="inlineStr">
        <is>
          <t>직원 휴가 최소화 (7~8월 성수기)</t>
        </is>
      </c>
      <c r="C6" s="27" t="n"/>
      <c r="D6" s="13" t="n"/>
      <c r="E6" s="36" t="n"/>
      <c r="F6" s="13" t="n"/>
      <c r="G6" s="36" t="inlineStr">
        <is>
          <t>진행중</t>
        </is>
      </c>
      <c r="H6" s="36" t="n"/>
      <c r="I6" s="27" t="n"/>
    </row>
    <row r="7">
      <c r="A7" s="35" t="n">
        <v>3</v>
      </c>
      <c r="B7" s="27" t="inlineStr">
        <is>
          <t>잔업 · 특근 확대 편성</t>
        </is>
      </c>
      <c r="C7" s="27" t="n"/>
      <c r="D7" s="13" t="n"/>
      <c r="E7" s="36" t="n"/>
      <c r="F7" s="13" t="n"/>
      <c r="G7" s="36" t="inlineStr"/>
      <c r="H7" s="36" t="n"/>
      <c r="I7" s="27" t="n"/>
    </row>
    <row r="8">
      <c r="A8" s="35" t="n">
        <v>4</v>
      </c>
      <c r="B8" s="27" t="inlineStr">
        <is>
          <t>크로스트레이닝 (치약 → 튜브)</t>
        </is>
      </c>
      <c r="C8" s="27" t="n"/>
      <c r="D8" s="13" t="n"/>
      <c r="E8" s="36" t="n"/>
      <c r="F8" s="13" t="n"/>
      <c r="G8" s="36" t="inlineStr"/>
      <c r="H8" s="36" t="n"/>
      <c r="I8" s="27" t="n"/>
    </row>
    <row r="9">
      <c r="A9" s="35" t="n">
        <v>5</v>
      </c>
      <c r="B9" s="27" t="inlineStr">
        <is>
          <t>촉탁직 전환 (8월 1명)</t>
        </is>
      </c>
      <c r="C9" s="27" t="n"/>
      <c r="D9" s="13" t="n"/>
      <c r="E9" s="36" t="n"/>
      <c r="F9" s="13" t="n"/>
      <c r="G9" s="36" t="inlineStr">
        <is>
          <t>완료</t>
        </is>
      </c>
      <c r="H9" s="36" t="n"/>
      <c r="I9" s="27" t="n"/>
    </row>
    <row r="10">
      <c r="A10" s="35" t="n">
        <v>6</v>
      </c>
      <c r="B10" s="27" t="inlineStr">
        <is>
          <t>라인 간 인력 지원</t>
        </is>
      </c>
      <c r="C10" s="27" t="n"/>
      <c r="D10" s="13" t="n"/>
      <c r="E10" s="36" t="n"/>
      <c r="F10" s="13" t="n"/>
      <c r="G10" s="36" t="inlineStr"/>
      <c r="H10" s="36" t="n"/>
      <c r="I10" s="27" t="n"/>
    </row>
    <row r="11">
      <c r="A11" s="35" t="n">
        <v>7</v>
      </c>
      <c r="B11" s="27" t="inlineStr"/>
      <c r="C11" s="27" t="n"/>
      <c r="D11" s="13" t="n"/>
      <c r="E11" s="36" t="n"/>
      <c r="F11" s="13" t="n"/>
      <c r="G11" s="36" t="inlineStr"/>
      <c r="H11" s="36" t="n"/>
      <c r="I11" s="27" t="n"/>
    </row>
    <row r="12">
      <c r="A12" s="35" t="n">
        <v>8</v>
      </c>
      <c r="B12" s="27" t="inlineStr"/>
      <c r="C12" s="27" t="n"/>
      <c r="D12" s="13" t="n"/>
      <c r="E12" s="36" t="n"/>
      <c r="F12" s="13" t="n"/>
      <c r="G12" s="36" t="inlineStr"/>
      <c r="H12" s="36" t="n"/>
      <c r="I12" s="27" t="n"/>
    </row>
    <row r="13">
      <c r="A13" s="21" t="inlineStr"/>
      <c r="B13" s="19" t="inlineStr">
        <is>
          <t>합계</t>
        </is>
      </c>
      <c r="C13" s="21" t="inlineStr"/>
      <c r="D13" s="20">
        <f>SUM(D5:D12)</f>
        <v/>
      </c>
      <c r="E13" s="21" t="inlineStr"/>
      <c r="F13" s="20">
        <f>SUM(F5:F12)</f>
        <v/>
      </c>
      <c r="G13" s="21" t="inlineStr"/>
      <c r="H13" s="21" t="inlineStr"/>
      <c r="I13" s="21" t="inlineStr"/>
    </row>
    <row r="15">
      <c r="A15" s="2" t="inlineStr">
        <is>
          <t>※ '확보 공수'는 해당 대응으로 추가 확보되는 월 공수. 정규 충원 1명 = 209 M·H와 비교하면 '충원 없이 몇 명분을 메우고 있는지'가 그대로 나온다.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2026-08-31T05:57:37Z</dcterms:created>
  <dcterms:modified xsi:type="dcterms:W3CDTF">2026-08-31T05:57:37Z</dcterms:modified>
</cp:coreProperties>
</file>