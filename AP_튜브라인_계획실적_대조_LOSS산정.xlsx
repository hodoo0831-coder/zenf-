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요약" sheetId="1" state="visible" r:id="rId1"/>
    <sheet name="1.기준정보" sheetId="2" state="visible" r:id="rId2"/>
    <sheet name="2.일별대조" sheetId="3" state="visible" r:id="rId3"/>
    <sheet name="3.사유별집계" sheetId="4" state="visible" r:id="rId4"/>
    <sheet name="4.포장재결품이력" sheetId="5" state="visible" r:id="rId5"/>
    <sheet name="5.AP회신_시뮬" sheetId="6" state="visible" r:id="rId6"/>
  </sheets>
  <definedNames>
    <definedName name="_xlnm._FilterDatabase" localSheetId="2" hidden="1">'2.일별대조'!$A$3:$R$87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0.0%"/>
    <numFmt numFmtId="167" formatCode="#,##0.0"/>
    <numFmt numFmtId="168" formatCode="yyyy-mm-dd hh:mm"/>
  </numFmts>
  <fonts count="2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7F7F7F"/>
      <sz val="9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0000FF"/>
      <sz val="10"/>
    </font>
    <font>
      <name val="맑은 고딕"/>
      <color rgb="007F7F7F"/>
      <sz val="9"/>
    </font>
    <font>
      <name val="맑은 고딕"/>
      <b val="1"/>
      <color rgb="00FFFFFF"/>
      <sz val="10"/>
    </font>
    <font>
      <name val="맑은 고딕"/>
      <color rgb="00000000"/>
      <sz val="10"/>
    </font>
    <font/>
    <font>
      <name val="맑은 고딕"/>
      <color rgb="00C00000"/>
      <sz val="10"/>
    </font>
    <font>
      <name val="맑은 고딕"/>
      <b val="1"/>
      <color rgb="001F6F3F"/>
      <sz val="10"/>
    </font>
    <font>
      <name val="맑은 고딕"/>
      <b val="1"/>
      <color rgb="00B26B00"/>
      <sz val="10"/>
    </font>
    <font>
      <name val="맑은 고딕"/>
      <b val="1"/>
      <color rgb="00C00000"/>
      <sz val="10"/>
    </font>
    <font>
      <name val="맑은 고딕"/>
      <b val="1"/>
      <color rgb="007F7F7F"/>
      <sz val="10"/>
    </font>
    <font>
      <name val="맑은 고딕"/>
      <b val="1"/>
      <color rgb="00C00000"/>
      <sz val="9"/>
    </font>
    <font>
      <name val="맑은 고딕"/>
      <b val="1"/>
      <color rgb="00000000"/>
      <sz val="11"/>
    </font>
    <font>
      <name val="맑은 고딕"/>
      <color rgb="00C00000"/>
      <sz val="9"/>
    </font>
    <font>
      <name val="맑은 고딕"/>
      <b val="1"/>
      <color rgb="000F2438"/>
      <sz val="11"/>
    </font>
    <font>
      <name val="맑은 고딕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0F2438"/>
      </patternFill>
    </fill>
    <fill>
      <patternFill patternType="solid">
        <fgColor rgb="005B7F52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EEF1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indent="1"/>
    </xf>
    <xf numFmtId="3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0" fontId="16" fillId="6" borderId="1" pivotButton="0" quotePrefix="0" xfId="0"/>
    <xf numFmtId="3" fontId="16" fillId="6" borderId="1" pivotButton="0" quotePrefix="0" xfId="0"/>
    <xf numFmtId="166" fontId="16" fillId="6" borderId="1" pivotButton="0" quotePrefix="0" xfId="0"/>
    <xf numFmtId="0" fontId="4" fillId="0" borderId="1" pivotButton="0" quotePrefix="0" xfId="0"/>
    <xf numFmtId="3" fontId="8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7" fontId="16" fillId="6" borderId="1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0" fontId="8" fillId="4" borderId="1" pivotButton="0" quotePrefix="0" xfId="0"/>
    <xf numFmtId="0" fontId="4" fillId="0" borderId="0" pivotButton="0" quotePrefix="0" xfId="0"/>
    <xf numFmtId="3" fontId="5" fillId="4" borderId="1" pivotButton="0" quotePrefix="0" xfId="0"/>
    <xf numFmtId="0" fontId="6" fillId="0" borderId="0" pivotButton="0" quotePrefix="0" xfId="0"/>
    <xf numFmtId="1" fontId="5" fillId="4" borderId="1" pivotButton="0" quotePrefix="0" xfId="0"/>
    <xf numFmtId="164" fontId="5" fillId="4" borderId="1" pivotButton="0" quotePrefix="0" xfId="0"/>
    <xf numFmtId="3" fontId="5" fillId="0" borderId="1" pivotButton="0" quotePrefix="0" xfId="0"/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7" fontId="8" fillId="0" borderId="1" pivotButton="0" quotePrefix="0" xfId="0"/>
    <xf numFmtId="166" fontId="8" fillId="0" borderId="1" pivotButton="0" quotePrefix="0" xfId="0"/>
    <xf numFmtId="0" fontId="0" fillId="6" borderId="1" pivotButton="0" quotePrefix="0" xfId="0"/>
    <xf numFmtId="168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0" fontId="17" fillId="6" borderId="1" pivotButton="0" quotePrefix="0" xfId="0"/>
    <xf numFmtId="0" fontId="8" fillId="4" borderId="1" applyAlignment="1" pivotButton="0" quotePrefix="0" xfId="0">
      <alignment horizontal="center"/>
    </xf>
    <xf numFmtId="1" fontId="8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ZEN</author>
  </authors>
  <commentList>
    <comment ref="B22" authorId="0" shapeId="0">
      <text>
        <t>UPH 350개/H는 임시 자리값입니다. 호기별 실측 UPH(MES 또는 표준공수)로 반드시 교체하십시오.
이 값이 틀리면 아래 모든 GAP/LOSS 금액이 함께 틀립니다.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AP 대전 튜브라인 — 계획 vs 실적 GAP 및 귀책 판정 요약</t>
        </is>
      </c>
    </row>
    <row r="2">
      <c r="A2" s="2" t="inlineStr">
        <is>
          <t>전 항목 자동 계산. 입력은 [1.기준정보] · [2.일별대조] · [4.포장재결품이력]에서만 하십시오.</t>
        </is>
      </c>
    </row>
    <row r="4" ht="20" customHeight="1">
      <c r="A4" s="3" t="inlineStr">
        <is>
          <t>① 주차별 계획 vs 실적</t>
        </is>
      </c>
    </row>
    <row r="5" ht="32" customHeight="1">
      <c r="A5" s="4" t="inlineStr">
        <is>
          <t>주차</t>
        </is>
      </c>
      <c r="B5" s="4" t="inlineStr">
        <is>
          <t>기준CAPA 합(개)</t>
        </is>
      </c>
      <c r="C5" s="4" t="inlineStr">
        <is>
          <t>도급 일계획 합(개)</t>
        </is>
      </c>
      <c r="D5" s="4" t="inlineStr">
        <is>
          <t>실적 합(개)</t>
        </is>
      </c>
      <c r="E5" s="4" t="inlineStr">
        <is>
          <t>GAP (CAPA-실적)</t>
        </is>
      </c>
      <c r="F5" s="4" t="inlineStr">
        <is>
          <t>계획대비 달성률</t>
        </is>
      </c>
      <c r="G5" s="4" t="inlineStr">
        <is>
          <t>CAPA대비 달성률</t>
        </is>
      </c>
    </row>
    <row r="6">
      <c r="A6" s="5" t="inlineStr">
        <is>
          <t>34주 (8/17~8/22)</t>
        </is>
      </c>
      <c r="B6" s="6">
        <f>SUMIFS('2.일별대조'!$G$4:$G$87,'2.일별대조'!$B$4:$B$87,34)</f>
        <v/>
      </c>
      <c r="C6" s="6">
        <f>SUMIFS('2.일별대조'!$H$4:$H$87,'2.일별대조'!$B$4:$B$87,34)</f>
        <v/>
      </c>
      <c r="D6" s="6">
        <f>SUMIFS('2.일별대조'!$I$4:$I$87,'2.일별대조'!$B$4:$B$87,34)</f>
        <v/>
      </c>
      <c r="E6" s="6">
        <f>$B6-$D6</f>
        <v/>
      </c>
      <c r="F6" s="7">
        <f>IF($C6=0,0,$D6/$C6)</f>
        <v/>
      </c>
      <c r="G6" s="7">
        <f>IF($B6=0,0,$D6/$B6)</f>
        <v/>
      </c>
    </row>
    <row r="7">
      <c r="A7" s="5" t="inlineStr">
        <is>
          <t>35주 (8/24~8/29)  ← 당주</t>
        </is>
      </c>
      <c r="B7" s="6">
        <f>SUMIFS('2.일별대조'!$G$4:$G$87,'2.일별대조'!$B$4:$B$87,35)</f>
        <v/>
      </c>
      <c r="C7" s="6">
        <f>SUMIFS('2.일별대조'!$H$4:$H$87,'2.일별대조'!$B$4:$B$87,35)</f>
        <v/>
      </c>
      <c r="D7" s="6">
        <f>SUMIFS('2.일별대조'!$I$4:$I$87,'2.일별대조'!$B$4:$B$87,35)</f>
        <v/>
      </c>
      <c r="E7" s="6">
        <f>$B7-$D7</f>
        <v/>
      </c>
      <c r="F7" s="7">
        <f>IF($C7=0,0,$D7/$C7)</f>
        <v/>
      </c>
      <c r="G7" s="7">
        <f>IF($B7=0,0,$D7/$B7)</f>
        <v/>
      </c>
    </row>
    <row r="8">
      <c r="A8" s="8" t="inlineStr">
        <is>
          <t>2주 합계</t>
        </is>
      </c>
      <c r="B8" s="9">
        <f>SUM(B6:B7)</f>
        <v/>
      </c>
      <c r="C8" s="9">
        <f>SUM(C6:C7)</f>
        <v/>
      </c>
      <c r="D8" s="9">
        <f>SUM(D6:D7)</f>
        <v/>
      </c>
      <c r="E8" s="9">
        <f>SUM(E6:E7)</f>
        <v/>
      </c>
      <c r="F8" s="10">
        <f>IF($C8=0,0,$D8/$C8)</f>
        <v/>
      </c>
      <c r="G8" s="10">
        <f>IF($B8=0,0,$D8/$B8)</f>
        <v/>
      </c>
    </row>
    <row r="11" ht="20" customHeight="1">
      <c r="A11" s="3" t="inlineStr">
        <is>
          <t>② AP 제시 기준 대비 (핵심 논점)</t>
        </is>
      </c>
    </row>
    <row r="12" ht="32" customHeight="1">
      <c r="A12" s="4" t="inlineStr">
        <is>
          <t>구분</t>
        </is>
      </c>
      <c r="B12" s="4" t="inlineStr">
        <is>
          <t>수량(개)</t>
        </is>
      </c>
      <c r="C12" s="4" t="inlineStr">
        <is>
          <t>산출근거</t>
        </is>
      </c>
    </row>
    <row r="13">
      <c r="A13" s="11" t="inlineStr">
        <is>
          <t>AP 제시 주간 목표</t>
        </is>
      </c>
      <c r="B13" s="12">
        <f>'1.기준정보'!$B$7</f>
        <v/>
      </c>
      <c r="C13" s="13" t="inlineStr">
        <is>
          <t>김상은 2026-08-27 통화</t>
        </is>
      </c>
    </row>
    <row r="14">
      <c r="A14" s="11" t="inlineStr">
        <is>
          <t>AP 제시 보수 기준</t>
        </is>
      </c>
      <c r="B14" s="12">
        <f>'1.기준정보'!$B$8</f>
        <v/>
      </c>
      <c r="C14" s="13" t="inlineStr">
        <is>
          <t>동일</t>
        </is>
      </c>
    </row>
    <row r="15">
      <c r="A15" s="11" t="inlineStr">
        <is>
          <t>실적 (주 평균)</t>
        </is>
      </c>
      <c r="B15" s="12">
        <f>IF(COUNT(D6:D7)=0,0,AVERAGE(D6:D7))</f>
        <v/>
      </c>
      <c r="C15" s="13" t="inlineStr">
        <is>
          <t>[2.일별대조] 실적 주평균</t>
        </is>
      </c>
    </row>
    <row r="16">
      <c r="A16" s="11" t="inlineStr">
        <is>
          <t>GAP vs AP 목표</t>
        </is>
      </c>
      <c r="B16" s="12">
        <f>'1.기준정보'!$B$7-B15</f>
        <v/>
      </c>
      <c r="C16" s="13" t="inlineStr">
        <is>
          <t>AP가 문제 삼는 수량</t>
        </is>
      </c>
    </row>
    <row r="17">
      <c r="A17" s="11" t="inlineStr">
        <is>
          <t>GAP vs AP 보수기준</t>
        </is>
      </c>
      <c r="B17" s="12">
        <f>'1.기준정보'!$B$8-B15</f>
        <v/>
      </c>
      <c r="C17" s="13" t="inlineStr">
        <is>
          <t>최소한 방어해야 할 수량</t>
        </is>
      </c>
    </row>
    <row r="19" ht="20" customHeight="1">
      <c r="A19" s="3" t="inlineStr">
        <is>
          <t>③ 귀책별 LOSS 및 시나리오 판정</t>
        </is>
      </c>
    </row>
    <row r="20" ht="32" customHeight="1">
      <c r="A20" s="4" t="inlineStr">
        <is>
          <t>구분</t>
        </is>
      </c>
      <c r="B20" s="4" t="inlineStr">
        <is>
          <t>LOSS공수(M·H)</t>
        </is>
      </c>
      <c r="C20" s="4" t="inlineStr">
        <is>
          <t>LOSS금액(원)</t>
        </is>
      </c>
      <c r="D20" s="4" t="inlineStr">
        <is>
          <t>구성비</t>
        </is>
      </c>
    </row>
    <row r="21">
      <c r="A21" s="14" t="inlineStr">
        <is>
          <t>원청</t>
        </is>
      </c>
      <c r="B21" s="15">
        <f>'3.사유별집계'!$C$22</f>
        <v/>
      </c>
      <c r="C21" s="6">
        <f>'3.사유별집계'!$D$22</f>
        <v/>
      </c>
      <c r="D21" s="7">
        <f>IF($B$25=0,0,$B21/$B$25)</f>
        <v/>
      </c>
    </row>
    <row r="22">
      <c r="A22" s="14" t="inlineStr">
        <is>
          <t>도급</t>
        </is>
      </c>
      <c r="B22" s="15">
        <f>'3.사유별집계'!$C$23</f>
        <v/>
      </c>
      <c r="C22" s="6">
        <f>'3.사유별집계'!$D$23</f>
        <v/>
      </c>
      <c r="D22" s="7">
        <f>IF($B$25=0,0,$B22/$B$25)</f>
        <v/>
      </c>
    </row>
    <row r="23">
      <c r="A23" s="14" t="inlineStr">
        <is>
          <t>공통</t>
        </is>
      </c>
      <c r="B23" s="15">
        <f>'3.사유별집계'!$C$24</f>
        <v/>
      </c>
      <c r="C23" s="6">
        <f>'3.사유별집계'!$D$24</f>
        <v/>
      </c>
      <c r="D23" s="7">
        <f>IF($B$25=0,0,$B23/$B$25)</f>
        <v/>
      </c>
    </row>
    <row r="24">
      <c r="A24" s="14" t="inlineStr">
        <is>
          <t>미정</t>
        </is>
      </c>
      <c r="B24" s="15">
        <f>'3.사유별집계'!$C$25</f>
        <v/>
      </c>
      <c r="C24" s="6">
        <f>'3.사유별집계'!$D$25</f>
        <v/>
      </c>
      <c r="D24" s="7">
        <f>IF($B$25=0,0,$B24/$B$25)</f>
        <v/>
      </c>
    </row>
    <row r="25">
      <c r="A25" s="8" t="inlineStr">
        <is>
          <t>합계</t>
        </is>
      </c>
      <c r="B25" s="16">
        <f>SUM(B21:B24)</f>
        <v/>
      </c>
      <c r="C25" s="9">
        <f>SUM(C21:C24)</f>
        <v/>
      </c>
      <c r="D25" s="8" t="n"/>
    </row>
    <row r="27" ht="22" customHeight="1">
      <c r="A27" s="17" t="inlineStr">
        <is>
          <t>시나리오 판정</t>
        </is>
      </c>
      <c r="B27" s="18">
        <f>IF($B$25=0,"데이터 미입력 — 2.일별대조 시트 입력 필요",IF($B$21/$B$25&gt;=0.6,"A. 원청(포장재) 귀책 우세 → 정산 청구 근거 확보. AP 회신 시 결품 이력 첨부",IF($B$22/$B$25&gt;=0.4,"C. 도급 귀책 우세 → 방어 불가. 즉시 잔업·교대 복원 계획 제출","B. 혼재 → 공통 LOSS 사유별 재분류 후 재판정")))</f>
        <v/>
      </c>
    </row>
    <row r="29" ht="20" customHeight="1">
      <c r="A29" s="3" t="inlineStr">
        <is>
          <t>④ 36주(8/31~) 대응 체크리스트</t>
        </is>
      </c>
    </row>
    <row r="30" ht="32" customHeight="1">
      <c r="A30" s="4" t="inlineStr">
        <is>
          <t>No</t>
        </is>
      </c>
      <c r="B30" s="4" t="inlineStr">
        <is>
          <t>항목</t>
        </is>
      </c>
      <c r="C30" s="4" t="inlineStr">
        <is>
          <t>위치 / 비고</t>
        </is>
      </c>
      <c r="D30" s="4" t="inlineStr">
        <is>
          <t>담당</t>
        </is>
      </c>
      <c r="E30" s="4" t="inlineStr">
        <is>
          <t>기한</t>
        </is>
      </c>
      <c r="F30" s="4" t="inlineStr">
        <is>
          <t>완료</t>
        </is>
      </c>
    </row>
    <row r="31">
      <c r="A31" s="19" t="inlineStr">
        <is>
          <t>1</t>
        </is>
      </c>
      <c r="B31" s="20" t="inlineStr">
        <is>
          <t>튜브 8/17~8/29 일자·호기별 실제 근무형태 확정</t>
        </is>
      </c>
      <c r="C31" s="13" t="inlineStr">
        <is>
          <t>[2.일별대조] E·F열</t>
        </is>
      </c>
      <c r="D31" s="21" t="n"/>
      <c r="E31" s="21" t="n"/>
      <c r="F31" s="21" t="n"/>
    </row>
    <row r="32">
      <c r="A32" s="19" t="inlineStr">
        <is>
          <t>2</t>
        </is>
      </c>
      <c r="B32" s="20" t="inlineStr">
        <is>
          <t>포장재 결품 시간 단위 증빙 확보</t>
        </is>
      </c>
      <c r="C32" s="13" t="inlineStr">
        <is>
          <t>[4.포장재결품이력] — 미작성 시 원청 귀책 주장 불가</t>
        </is>
      </c>
      <c r="D32" s="21" t="n"/>
      <c r="E32" s="21" t="n"/>
      <c r="F32" s="21" t="n"/>
    </row>
    <row r="33">
      <c r="A33" s="19" t="inlineStr">
        <is>
          <t>3</t>
        </is>
      </c>
      <c r="B33" s="20" t="inlineStr">
        <is>
          <t>호기별 실측 UPH 입력 (임시값 350 교체)</t>
        </is>
      </c>
      <c r="C33" s="13" t="inlineStr">
        <is>
          <t>[1.기준정보] B22:B28</t>
        </is>
      </c>
      <c r="D33" s="21" t="n"/>
      <c r="E33" s="21" t="n"/>
      <c r="F33" s="21" t="n"/>
    </row>
    <row r="34">
      <c r="A34" s="19" t="inlineStr">
        <is>
          <t>4</t>
        </is>
      </c>
      <c r="B34" s="20" t="inlineStr">
        <is>
          <t>AP 제시 캐파의 일/주 단위 확정</t>
        </is>
      </c>
      <c r="C34" s="13" t="inlineStr">
        <is>
          <t>[1.기준정보] ④ 블록 — 회신 전 최우선</t>
        </is>
      </c>
      <c r="D34" s="21" t="n"/>
      <c r="E34" s="21" t="n"/>
      <c r="F34" s="21" t="n"/>
    </row>
    <row r="35">
      <c r="A35" s="19" t="inlineStr">
        <is>
          <t>5</t>
        </is>
      </c>
      <c r="B35" s="20" t="inlineStr">
        <is>
          <t>신 차장 1도급 일계획 수립 로직 확인</t>
        </is>
      </c>
      <c r="C35" s="13" t="inlineStr">
        <is>
          <t>오더 기준 / 자재 기준 / 인원 기준 중 무엇인가</t>
        </is>
      </c>
      <c r="D35" s="21" t="n"/>
      <c r="E35" s="21" t="n"/>
      <c r="F35" s="21" t="n"/>
    </row>
    <row r="36">
      <c r="A36" s="19" t="inlineStr">
        <is>
          <t>6</t>
        </is>
      </c>
      <c r="B36" s="20" t="inlineStr">
        <is>
          <t>AP 회신 2개 항목 확정 (가능 근무형태 + 주간 물량)</t>
        </is>
      </c>
      <c r="C36" s="13" t="inlineStr">
        <is>
          <t>[5.AP회신_시뮬]</t>
        </is>
      </c>
      <c r="D36" s="21" t="n"/>
      <c r="E36" s="21" t="n"/>
      <c r="F36" s="21" t="n"/>
    </row>
    <row r="37">
      <c r="A37" s="19" t="inlineStr">
        <is>
          <t>7</t>
        </is>
      </c>
      <c r="B37" s="20" t="inlineStr">
        <is>
          <t>염모동·HMB동 동일 패턴 스크리닝</t>
        </is>
      </c>
      <c r="C37" s="13" t="inlineStr">
        <is>
          <t>튜브 방어 후 타 동에서 재발 시 프레임 확대</t>
        </is>
      </c>
      <c r="D37" s="21" t="n"/>
      <c r="E37" s="21" t="n"/>
      <c r="F37" s="21" t="n"/>
    </row>
    <row r="38">
      <c r="A38" s="19" t="inlineStr">
        <is>
          <t>8</t>
        </is>
      </c>
      <c r="B38" s="20" t="inlineStr">
        <is>
          <t>36주 일 단위 보고 양식 가동</t>
        </is>
      </c>
      <c r="C38" s="13" t="inlineStr">
        <is>
          <t>AP 예고 사항 — 사후 작성 불가</t>
        </is>
      </c>
      <c r="D38" s="21" t="n"/>
      <c r="E38" s="21" t="n"/>
      <c r="F38" s="21" t="n"/>
    </row>
  </sheetData>
  <mergeCells count="6">
    <mergeCell ref="A4:H4"/>
    <mergeCell ref="B27:H27"/>
    <mergeCell ref="A29:H29"/>
    <mergeCell ref="A19:H19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튜브라인 기준정보 · 캐파 · 귀책 매핑</t>
        </is>
      </c>
    </row>
    <row r="2">
      <c r="A2" s="2" t="inlineStr">
        <is>
          <t>노란 셀 = 반드시 실측값으로 교체 / 파란 글씨 = 하드코딩 입력값 / 검정 = 수식</t>
        </is>
      </c>
    </row>
    <row r="4" ht="20" customHeight="1">
      <c r="A4" s="3" t="inlineStr">
        <is>
          <t>① 기준 단가 및 목표</t>
        </is>
      </c>
    </row>
    <row r="5">
      <c r="A5" s="22" t="inlineStr">
        <is>
          <t>임률 (원/M·H)</t>
        </is>
      </c>
      <c r="B5" s="23" t="n">
        <v>35121</v>
      </c>
      <c r="C5" s="24" t="inlineStr">
        <is>
          <t>AP 대전 BY26 기준. BY27 확정 시 갱신</t>
        </is>
      </c>
    </row>
    <row r="6">
      <c r="A6" s="22" t="inlineStr">
        <is>
          <t>주간 가동일수 (일)</t>
        </is>
      </c>
      <c r="B6" s="25" t="n">
        <v>6</v>
      </c>
      <c r="C6" s="24" t="inlineStr">
        <is>
          <t>월~토(특근 포함) 가정. 실제 편성으로 교체</t>
        </is>
      </c>
    </row>
    <row r="7">
      <c r="A7" s="22" t="inlineStr">
        <is>
          <t>AP 제시 주간 목표수량 (개)</t>
        </is>
      </c>
      <c r="B7" s="23" t="n">
        <v>230000</v>
      </c>
      <c r="C7" s="24" t="inlineStr">
        <is>
          <t>김상은(AP 생산지원팀) 2026-08-27 통화 제시값</t>
        </is>
      </c>
    </row>
    <row r="8">
      <c r="A8" s="22" t="inlineStr">
        <is>
          <t>AP 제시 보수 기준수량 (개)</t>
        </is>
      </c>
      <c r="B8" s="23" t="n">
        <v>200000</v>
      </c>
      <c r="C8" s="24" t="inlineStr">
        <is>
          <t>동일 통화. OP 휴가 등 감안한 보수 기준</t>
        </is>
      </c>
    </row>
    <row r="11" ht="20" customHeight="1">
      <c r="A11" s="3" t="inlineStr">
        <is>
          <t>② 근무형태별 순가동시간 (호기 1대 기준)</t>
        </is>
      </c>
    </row>
    <row r="12" ht="32" customHeight="1">
      <c r="A12" s="4" t="inlineStr">
        <is>
          <t>근무형태</t>
        </is>
      </c>
      <c r="B12" s="4" t="inlineStr">
        <is>
          <t>순가동시간(H)</t>
        </is>
      </c>
      <c r="C12" s="4" t="inlineStr">
        <is>
          <t>비고</t>
        </is>
      </c>
    </row>
    <row r="13">
      <c r="A13" s="20" t="inlineStr">
        <is>
          <t>미가동</t>
        </is>
      </c>
      <c r="B13" s="26" t="n">
        <v>0</v>
      </c>
      <c r="C13" s="13" t="inlineStr">
        <is>
          <t>정지</t>
        </is>
      </c>
    </row>
    <row r="14">
      <c r="A14" s="20" t="inlineStr">
        <is>
          <t>1교대</t>
        </is>
      </c>
      <c r="B14" s="26" t="n">
        <v>8</v>
      </c>
      <c r="C14" s="13" t="inlineStr">
        <is>
          <t>주간 1교대 정상근무</t>
        </is>
      </c>
    </row>
    <row r="15">
      <c r="A15" s="20" t="inlineStr">
        <is>
          <t>1교대+잔업</t>
        </is>
      </c>
      <c r="B15" s="26" t="n">
        <v>10.5</v>
      </c>
      <c r="C15" s="13" t="inlineStr">
        <is>
          <t>잔업 2.5H 가정 — 실제 편성으로 교체</t>
        </is>
      </c>
    </row>
    <row r="16">
      <c r="A16" s="20" t="inlineStr">
        <is>
          <t>주간2교대</t>
        </is>
      </c>
      <c r="B16" s="26" t="n">
        <v>16</v>
      </c>
      <c r="C16" s="13" t="inlineStr">
        <is>
          <t>2교대 8H×2</t>
        </is>
      </c>
    </row>
    <row r="17">
      <c r="A17" s="20" t="inlineStr">
        <is>
          <t>주간2교대+잔업</t>
        </is>
      </c>
      <c r="B17" s="26" t="n">
        <v>19</v>
      </c>
      <c r="C17" s="13" t="inlineStr">
        <is>
          <t>2교대 + 잔업 3H 가정</t>
        </is>
      </c>
    </row>
    <row r="18">
      <c r="A18" s="20" t="inlineStr">
        <is>
          <t>특근</t>
        </is>
      </c>
      <c r="B18" s="26" t="n">
        <v>8</v>
      </c>
      <c r="C18" s="13" t="inlineStr">
        <is>
          <t>토요 특근 1교대</t>
        </is>
      </c>
    </row>
    <row r="20" ht="20" customHeight="1">
      <c r="A20" s="3" t="inlineStr">
        <is>
          <t>③ 호기별 UPH 및 근무형태별 일 CAPA (개/일)  ※ CAPA = UPH × 순가동시간</t>
        </is>
      </c>
    </row>
    <row r="21" ht="32" customHeight="1">
      <c r="A21" s="4" t="inlineStr">
        <is>
          <t>호기</t>
        </is>
      </c>
      <c r="B21" s="4" t="inlineStr">
        <is>
          <t>UPH(개/H)</t>
        </is>
      </c>
      <c r="C21" s="4" t="inlineStr">
        <is>
          <t>미가동</t>
        </is>
      </c>
      <c r="D21" s="4" t="inlineStr">
        <is>
          <t>1교대</t>
        </is>
      </c>
      <c r="E21" s="4" t="inlineStr">
        <is>
          <t>1교대+잔업</t>
        </is>
      </c>
      <c r="F21" s="4" t="inlineStr">
        <is>
          <t>주간2교대</t>
        </is>
      </c>
      <c r="G21" s="4" t="inlineStr">
        <is>
          <t>주간2교대+잔업</t>
        </is>
      </c>
      <c r="H21" s="4" t="inlineStr">
        <is>
          <t>특근</t>
        </is>
      </c>
    </row>
    <row r="22">
      <c r="A22" s="11" t="inlineStr">
        <is>
          <t>2호기</t>
        </is>
      </c>
      <c r="B22" s="23" t="n">
        <v>350</v>
      </c>
      <c r="C22" s="12">
        <f>ROUND($B22*INDEX($B$13:$B$18,MATCH(C$21,$A$13:$A$18,0)),0)</f>
        <v/>
      </c>
      <c r="D22" s="12">
        <f>ROUND($B22*INDEX($B$13:$B$18,MATCH(D$21,$A$13:$A$18,0)),0)</f>
        <v/>
      </c>
      <c r="E22" s="12">
        <f>ROUND($B22*INDEX($B$13:$B$18,MATCH(E$21,$A$13:$A$18,0)),0)</f>
        <v/>
      </c>
      <c r="F22" s="12">
        <f>ROUND($B22*INDEX($B$13:$B$18,MATCH(F$21,$A$13:$A$18,0)),0)</f>
        <v/>
      </c>
      <c r="G22" s="12">
        <f>ROUND($B22*INDEX($B$13:$B$18,MATCH(G$21,$A$13:$A$18,0)),0)</f>
        <v/>
      </c>
      <c r="H22" s="12">
        <f>ROUND($B22*INDEX($B$13:$B$18,MATCH(H$21,$A$13:$A$18,0)),0)</f>
        <v/>
      </c>
    </row>
    <row r="23">
      <c r="A23" s="11" t="inlineStr">
        <is>
          <t>3호기</t>
        </is>
      </c>
      <c r="B23" s="23" t="n">
        <v>350</v>
      </c>
      <c r="C23" s="12">
        <f>ROUND($B23*INDEX($B$13:$B$18,MATCH(C$21,$A$13:$A$18,0)),0)</f>
        <v/>
      </c>
      <c r="D23" s="12">
        <f>ROUND($B23*INDEX($B$13:$B$18,MATCH(D$21,$A$13:$A$18,0)),0)</f>
        <v/>
      </c>
      <c r="E23" s="12">
        <f>ROUND($B23*INDEX($B$13:$B$18,MATCH(E$21,$A$13:$A$18,0)),0)</f>
        <v/>
      </c>
      <c r="F23" s="12">
        <f>ROUND($B23*INDEX($B$13:$B$18,MATCH(F$21,$A$13:$A$18,0)),0)</f>
        <v/>
      </c>
      <c r="G23" s="12">
        <f>ROUND($B23*INDEX($B$13:$B$18,MATCH(G$21,$A$13:$A$18,0)),0)</f>
        <v/>
      </c>
      <c r="H23" s="12">
        <f>ROUND($B23*INDEX($B$13:$B$18,MATCH(H$21,$A$13:$A$18,0)),0)</f>
        <v/>
      </c>
    </row>
    <row r="24">
      <c r="A24" s="11" t="inlineStr">
        <is>
          <t>4호기</t>
        </is>
      </c>
      <c r="B24" s="23" t="n">
        <v>350</v>
      </c>
      <c r="C24" s="12">
        <f>ROUND($B24*INDEX($B$13:$B$18,MATCH(C$21,$A$13:$A$18,0)),0)</f>
        <v/>
      </c>
      <c r="D24" s="12">
        <f>ROUND($B24*INDEX($B$13:$B$18,MATCH(D$21,$A$13:$A$18,0)),0)</f>
        <v/>
      </c>
      <c r="E24" s="12">
        <f>ROUND($B24*INDEX($B$13:$B$18,MATCH(E$21,$A$13:$A$18,0)),0)</f>
        <v/>
      </c>
      <c r="F24" s="12">
        <f>ROUND($B24*INDEX($B$13:$B$18,MATCH(F$21,$A$13:$A$18,0)),0)</f>
        <v/>
      </c>
      <c r="G24" s="12">
        <f>ROUND($B24*INDEX($B$13:$B$18,MATCH(G$21,$A$13:$A$18,0)),0)</f>
        <v/>
      </c>
      <c r="H24" s="12">
        <f>ROUND($B24*INDEX($B$13:$B$18,MATCH(H$21,$A$13:$A$18,0)),0)</f>
        <v/>
      </c>
    </row>
    <row r="25">
      <c r="A25" s="11" t="inlineStr">
        <is>
          <t>5호기</t>
        </is>
      </c>
      <c r="B25" s="23" t="n">
        <v>350</v>
      </c>
      <c r="C25" s="12">
        <f>ROUND($B25*INDEX($B$13:$B$18,MATCH(C$21,$A$13:$A$18,0)),0)</f>
        <v/>
      </c>
      <c r="D25" s="12">
        <f>ROUND($B25*INDEX($B$13:$B$18,MATCH(D$21,$A$13:$A$18,0)),0)</f>
        <v/>
      </c>
      <c r="E25" s="12">
        <f>ROUND($B25*INDEX($B$13:$B$18,MATCH(E$21,$A$13:$A$18,0)),0)</f>
        <v/>
      </c>
      <c r="F25" s="12">
        <f>ROUND($B25*INDEX($B$13:$B$18,MATCH(F$21,$A$13:$A$18,0)),0)</f>
        <v/>
      </c>
      <c r="G25" s="12">
        <f>ROUND($B25*INDEX($B$13:$B$18,MATCH(G$21,$A$13:$A$18,0)),0)</f>
        <v/>
      </c>
      <c r="H25" s="12">
        <f>ROUND($B25*INDEX($B$13:$B$18,MATCH(H$21,$A$13:$A$18,0)),0)</f>
        <v/>
      </c>
    </row>
    <row r="26">
      <c r="A26" s="11" t="inlineStr">
        <is>
          <t>6호기</t>
        </is>
      </c>
      <c r="B26" s="23" t="n">
        <v>350</v>
      </c>
      <c r="C26" s="12">
        <f>ROUND($B26*INDEX($B$13:$B$18,MATCH(C$21,$A$13:$A$18,0)),0)</f>
        <v/>
      </c>
      <c r="D26" s="12">
        <f>ROUND($B26*INDEX($B$13:$B$18,MATCH(D$21,$A$13:$A$18,0)),0)</f>
        <v/>
      </c>
      <c r="E26" s="12">
        <f>ROUND($B26*INDEX($B$13:$B$18,MATCH(E$21,$A$13:$A$18,0)),0)</f>
        <v/>
      </c>
      <c r="F26" s="12">
        <f>ROUND($B26*INDEX($B$13:$B$18,MATCH(F$21,$A$13:$A$18,0)),0)</f>
        <v/>
      </c>
      <c r="G26" s="12">
        <f>ROUND($B26*INDEX($B$13:$B$18,MATCH(G$21,$A$13:$A$18,0)),0)</f>
        <v/>
      </c>
      <c r="H26" s="12">
        <f>ROUND($B26*INDEX($B$13:$B$18,MATCH(H$21,$A$13:$A$18,0)),0)</f>
        <v/>
      </c>
    </row>
    <row r="27">
      <c r="A27" s="11" t="inlineStr">
        <is>
          <t>7호기</t>
        </is>
      </c>
      <c r="B27" s="23" t="n">
        <v>350</v>
      </c>
      <c r="C27" s="12">
        <f>ROUND($B27*INDEX($B$13:$B$18,MATCH(C$21,$A$13:$A$18,0)),0)</f>
        <v/>
      </c>
      <c r="D27" s="12">
        <f>ROUND($B27*INDEX($B$13:$B$18,MATCH(D$21,$A$13:$A$18,0)),0)</f>
        <v/>
      </c>
      <c r="E27" s="12">
        <f>ROUND($B27*INDEX($B$13:$B$18,MATCH(E$21,$A$13:$A$18,0)),0)</f>
        <v/>
      </c>
      <c r="F27" s="12">
        <f>ROUND($B27*INDEX($B$13:$B$18,MATCH(F$21,$A$13:$A$18,0)),0)</f>
        <v/>
      </c>
      <c r="G27" s="12">
        <f>ROUND($B27*INDEX($B$13:$B$18,MATCH(G$21,$A$13:$A$18,0)),0)</f>
        <v/>
      </c>
      <c r="H27" s="12">
        <f>ROUND($B27*INDEX($B$13:$B$18,MATCH(H$21,$A$13:$A$18,0)),0)</f>
        <v/>
      </c>
    </row>
    <row r="28">
      <c r="A28" s="11" t="inlineStr">
        <is>
          <t>8호기</t>
        </is>
      </c>
      <c r="B28" s="23" t="n">
        <v>350</v>
      </c>
      <c r="C28" s="12">
        <f>ROUND($B28*INDEX($B$13:$B$18,MATCH(C$21,$A$13:$A$18,0)),0)</f>
        <v/>
      </c>
      <c r="D28" s="12">
        <f>ROUND($B28*INDEX($B$13:$B$18,MATCH(D$21,$A$13:$A$18,0)),0)</f>
        <v/>
      </c>
      <c r="E28" s="12">
        <f>ROUND($B28*INDEX($B$13:$B$18,MATCH(E$21,$A$13:$A$18,0)),0)</f>
        <v/>
      </c>
      <c r="F28" s="12">
        <f>ROUND($B28*INDEX($B$13:$B$18,MATCH(F$21,$A$13:$A$18,0)),0)</f>
        <v/>
      </c>
      <c r="G28" s="12">
        <f>ROUND($B28*INDEX($B$13:$B$18,MATCH(G$21,$A$13:$A$18,0)),0)</f>
        <v/>
      </c>
      <c r="H28" s="12">
        <f>ROUND($B28*INDEX($B$13:$B$18,MATCH(H$21,$A$13:$A$18,0)),0)</f>
        <v/>
      </c>
    </row>
    <row r="29">
      <c r="A29" s="2" t="inlineStr">
        <is>
          <t>※ UPH 350개/H = 임시 자리값. MES 실측 UPH로 교체 필수. 교체 전 산출된 CAPA·GAP·LOSS 금액은 무효.</t>
        </is>
      </c>
    </row>
    <row r="31" ht="20" customHeight="1">
      <c r="A31" s="3" t="inlineStr">
        <is>
          <t>④ AP 제시 캐파 기준 (2026-08-27 통화 원문 — 검증 대상, 우리 산식과 별도)</t>
        </is>
      </c>
    </row>
    <row r="32" ht="32" customHeight="1">
      <c r="A32" s="4" t="inlineStr">
        <is>
          <t>구분</t>
        </is>
      </c>
      <c r="B32" s="4" t="inlineStr">
        <is>
          <t>AP 제시 수량(개)</t>
        </is>
      </c>
      <c r="C32" s="4" t="inlineStr">
        <is>
          <t>단위(일/주) 확인</t>
        </is>
      </c>
      <c r="D32" s="4" t="inlineStr">
        <is>
          <t>비고</t>
        </is>
      </c>
    </row>
    <row r="33">
      <c r="A33" s="20" t="inlineStr">
        <is>
          <t>4·5·6호기 주간2교대</t>
        </is>
      </c>
      <c r="B33" s="27" t="n">
        <v>40000</v>
      </c>
      <c r="C33" s="28" t="inlineStr">
        <is>
          <t>미확정</t>
        </is>
      </c>
      <c r="D33" s="13" t="inlineStr">
        <is>
          <t>'4만개보다 조금 더 가능하나 4만으로 계산' (원문)</t>
        </is>
      </c>
    </row>
    <row r="34">
      <c r="A34" s="20" t="inlineStr">
        <is>
          <t>2·3호기 잔업</t>
        </is>
      </c>
      <c r="B34" s="27" t="n">
        <v>30000</v>
      </c>
      <c r="C34" s="28" t="inlineStr">
        <is>
          <t>미확정</t>
        </is>
      </c>
      <c r="D34" s="13" t="inlineStr">
        <is>
          <t>원문</t>
        </is>
      </c>
    </row>
    <row r="35">
      <c r="A35" s="20" t="inlineStr">
        <is>
          <t>7·8호기 잔업</t>
        </is>
      </c>
      <c r="B35" s="27" t="n">
        <v>30000</v>
      </c>
      <c r="C35" s="28" t="inlineStr">
        <is>
          <t>미확정</t>
        </is>
      </c>
      <c r="D35" s="13" t="inlineStr">
        <is>
          <t>8호기 가동 편차 감안 시 20,000으로 보수 적용</t>
        </is>
      </c>
    </row>
    <row r="36">
      <c r="A36" s="20" t="inlineStr">
        <is>
          <t>7·8호기 잔업(보수)</t>
        </is>
      </c>
      <c r="B36" s="27" t="n">
        <v>20000</v>
      </c>
      <c r="C36" s="28" t="inlineStr">
        <is>
          <t>미확정</t>
        </is>
      </c>
      <c r="D36" s="13" t="inlineStr">
        <is>
          <t>원문 보수값</t>
        </is>
      </c>
    </row>
    <row r="37">
      <c r="A37" s="20" t="inlineStr">
        <is>
          <t>AP 결론: 도급 일계획 반영 필요 수량</t>
        </is>
      </c>
      <c r="B37" s="27" t="n">
        <v>230000</v>
      </c>
      <c r="C37" s="28" t="inlineStr">
        <is>
          <t>주간 누계로 추정</t>
        </is>
      </c>
      <c r="D37" s="13" t="inlineStr">
        <is>
          <t>OP 휴가로 2교대 1개 해제 시에도 잔업 대응하면 1만개 차이</t>
        </is>
      </c>
    </row>
    <row r="38">
      <c r="A38" s="20" t="inlineStr">
        <is>
          <t>AP 결론: 보수 기준</t>
        </is>
      </c>
      <c r="B38" s="27" t="n">
        <v>200000</v>
      </c>
      <c r="C38" s="28" t="inlineStr">
        <is>
          <t>주간 누계로 추정</t>
        </is>
      </c>
      <c r="D38" s="13" t="inlineStr">
        <is>
          <t>'1주 20만개 기준으로 가능한지 현장과 확인 요청'</t>
        </is>
      </c>
    </row>
    <row r="40">
      <c r="A40" s="2" t="inlineStr">
        <is>
          <t>※ 개별 라인 합(4만+3만+2만=9만)과 결론값(23만)의 단위가 통화상 일치하지 않음. 일/주 단위 확정이 AP 회신 전 최우선 확인사항.</t>
        </is>
      </c>
    </row>
    <row r="42" ht="20" customHeight="1">
      <c r="A42" s="3" t="inlineStr">
        <is>
          <t>⑤ 비가동 사유 → 귀책 매핑 (공통 LOSS 일괄 50:50 금지 — 사유별 귀책 확정)</t>
        </is>
      </c>
    </row>
    <row r="43" ht="32" customHeight="1">
      <c r="A43" s="4" t="inlineStr">
        <is>
          <t>비가동 사유</t>
        </is>
      </c>
      <c r="B43" s="4" t="inlineStr">
        <is>
          <t>귀책</t>
        </is>
      </c>
      <c r="C43" s="4" t="inlineStr">
        <is>
          <t>판정 기준 / 증빙</t>
        </is>
      </c>
    </row>
    <row r="44">
      <c r="A44" s="20" t="inlineStr">
        <is>
          <t>포장재 미입고</t>
        </is>
      </c>
      <c r="B44" s="29" t="inlineStr">
        <is>
          <t>원청</t>
        </is>
      </c>
      <c r="C44" s="13" t="inlineStr">
        <is>
          <t>자재 결품 시각~입고 시각 로그. [4.포장재결품이력] 시트 증빙 필수</t>
        </is>
      </c>
    </row>
    <row r="45">
      <c r="A45" s="20" t="inlineStr">
        <is>
          <t>원료·부자재 미입고</t>
        </is>
      </c>
      <c r="B45" s="29" t="inlineStr">
        <is>
          <t>원청</t>
        </is>
      </c>
      <c r="C45" s="13" t="inlineStr">
        <is>
          <t>입고확인 파렛 기록</t>
        </is>
      </c>
    </row>
    <row r="46">
      <c r="A46" s="20" t="inlineStr">
        <is>
          <t>오더 미확정·계획변경</t>
        </is>
      </c>
      <c r="B46" s="29" t="inlineStr">
        <is>
          <t>원청</t>
        </is>
      </c>
      <c r="C46" s="13" t="inlineStr">
        <is>
          <t>AP 계획 변경 통보 이력</t>
        </is>
      </c>
    </row>
    <row r="47">
      <c r="A47" s="20" t="inlineStr">
        <is>
          <t>품목 교체(換替)</t>
        </is>
      </c>
      <c r="B47" s="30" t="inlineStr">
        <is>
          <t>공통</t>
        </is>
      </c>
      <c r="C47" s="13" t="inlineStr">
        <is>
          <t>표준 교체시간 초과분만 도급 귀책</t>
        </is>
      </c>
    </row>
    <row r="48">
      <c r="A48" s="20" t="inlineStr">
        <is>
          <t>설비 고장</t>
        </is>
      </c>
      <c r="B48" s="30" t="inlineStr">
        <is>
          <t>공통</t>
        </is>
      </c>
      <c r="C48" s="13" t="inlineStr">
        <is>
          <t>AP 설비 귀책 / 도급 조작 귀책 구분 후 재분류</t>
        </is>
      </c>
    </row>
    <row r="49">
      <c r="A49" s="20" t="inlineStr">
        <is>
          <t>설비 세척·워밍업</t>
        </is>
      </c>
      <c r="B49" s="30" t="inlineStr">
        <is>
          <t>공통</t>
        </is>
      </c>
      <c r="C49" s="13" t="inlineStr">
        <is>
          <t>표준시간 내는 불가피, 초과분 도급</t>
        </is>
      </c>
    </row>
    <row r="50">
      <c r="A50" s="20" t="inlineStr">
        <is>
          <t>인원 결원·휴가</t>
        </is>
      </c>
      <c r="B50" s="31" t="inlineStr">
        <is>
          <t>도급</t>
        </is>
      </c>
      <c r="C50" s="13" t="inlineStr">
        <is>
          <t>출근부·편성표</t>
        </is>
      </c>
    </row>
    <row r="51">
      <c r="A51" s="20" t="inlineStr">
        <is>
          <t>휴식 미복귀·작업준비 지연</t>
        </is>
      </c>
      <c r="B51" s="31" t="inlineStr">
        <is>
          <t>도급</t>
        </is>
      </c>
      <c r="C51" s="13" t="inlineStr">
        <is>
          <t>라인 가동 로그</t>
        </is>
      </c>
    </row>
    <row r="52">
      <c r="A52" s="20" t="inlineStr">
        <is>
          <t>품질 이상(공정 귀책)</t>
        </is>
      </c>
      <c r="B52" s="31" t="inlineStr">
        <is>
          <t>도급</t>
        </is>
      </c>
      <c r="C52" s="13" t="inlineStr">
        <is>
          <t>부적합 보고서</t>
        </is>
      </c>
    </row>
    <row r="53">
      <c r="A53" s="20" t="inlineStr">
        <is>
          <t>품질 이상(원자재 귀책)</t>
        </is>
      </c>
      <c r="B53" s="29" t="inlineStr">
        <is>
          <t>원청</t>
        </is>
      </c>
      <c r="C53" s="13" t="inlineStr">
        <is>
          <t>수입검사 성적서</t>
        </is>
      </c>
    </row>
    <row r="54">
      <c r="A54" s="20" t="inlineStr">
        <is>
          <t>안전사고·교육훈련</t>
        </is>
      </c>
      <c r="B54" s="30" t="inlineStr">
        <is>
          <t>공통</t>
        </is>
      </c>
      <c r="C54" s="13" t="inlineStr">
        <is>
          <t>사고보고서 / 교육계획</t>
        </is>
      </c>
    </row>
    <row r="55">
      <c r="A55" s="20" t="inlineStr">
        <is>
          <t>기타(미분류)</t>
        </is>
      </c>
      <c r="B55" s="32" t="inlineStr">
        <is>
          <t>미정</t>
        </is>
      </c>
      <c r="C55" s="13" t="inlineStr">
        <is>
          <t>귀책 확정 전까지 미정 유지. 협상 전 반드시 해소</t>
        </is>
      </c>
    </row>
  </sheetData>
  <mergeCells count="6">
    <mergeCell ref="A11:F11"/>
    <mergeCell ref="A31:J31"/>
    <mergeCell ref="A1:F1"/>
    <mergeCell ref="A20:J20"/>
    <mergeCell ref="A4:F4"/>
    <mergeCell ref="A42:J4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9" customWidth="1" min="4" max="4"/>
    <col width="14" customWidth="1" min="5" max="5"/>
    <col width="14" customWidth="1" min="6" max="6"/>
    <col width="12" customWidth="1" min="7" max="7"/>
    <col width="12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0" customWidth="1" min="15" max="15"/>
    <col width="11" customWidth="1" min="16" max="16"/>
    <col width="13" customWidth="1" min="17" max="17"/>
    <col width="30" customWidth="1" min="18" max="18"/>
  </cols>
  <sheetData>
    <row r="1" ht="26" customHeight="1">
      <c r="A1" s="1" t="inlineStr">
        <is>
          <t>일자·호기별 계획 / 실적 / 비가동 3단 대조</t>
        </is>
      </c>
    </row>
    <row r="2">
      <c r="A2" s="2" t="inlineStr">
        <is>
          <t>노란 셀만 입력. 회색 수식열은 건드리지 마십시오. 3행 = 예시행(실제 데이터로 덮어쓰기).</t>
        </is>
      </c>
    </row>
    <row r="3" ht="32" customHeight="1">
      <c r="A3" s="4" t="inlineStr">
        <is>
          <t>일자</t>
        </is>
      </c>
      <c r="B3" s="4" t="inlineStr">
        <is>
          <t>주차</t>
        </is>
      </c>
      <c r="C3" s="4" t="inlineStr">
        <is>
          <t>요일</t>
        </is>
      </c>
      <c r="D3" s="4" t="inlineStr">
        <is>
          <t>호기</t>
        </is>
      </c>
      <c r="E3" s="4" t="inlineStr">
        <is>
          <t>AP계획
근무형태</t>
        </is>
      </c>
      <c r="F3" s="4" t="inlineStr">
        <is>
          <t>실제
근무형태</t>
        </is>
      </c>
      <c r="G3" s="4" t="inlineStr">
        <is>
          <t>기준CAPA
(AP계획형태)</t>
        </is>
      </c>
      <c r="H3" s="4" t="inlineStr">
        <is>
          <t>도급 일계획
(개)</t>
        </is>
      </c>
      <c r="I3" s="4" t="inlineStr">
        <is>
          <t>실적
(개)</t>
        </is>
      </c>
      <c r="J3" s="4" t="inlineStr">
        <is>
          <t>CAPA대비
달성률</t>
        </is>
      </c>
      <c r="K3" s="4" t="inlineStr">
        <is>
          <t>투입인원
(명)</t>
        </is>
      </c>
      <c r="L3" s="4" t="inlineStr">
        <is>
          <t>가동시간
(H)</t>
        </is>
      </c>
      <c r="M3" s="4" t="inlineStr">
        <is>
          <t>비가동시간
(H)</t>
        </is>
      </c>
      <c r="N3" s="4" t="inlineStr">
        <is>
          <t>비가동 사유</t>
        </is>
      </c>
      <c r="O3" s="4" t="inlineStr">
        <is>
          <t>귀책
(자동)</t>
        </is>
      </c>
      <c r="P3" s="4" t="inlineStr">
        <is>
          <t>LOSS공수
(M·H)</t>
        </is>
      </c>
      <c r="Q3" s="4" t="inlineStr">
        <is>
          <t>LOSS금액
(원)</t>
        </is>
      </c>
      <c r="R3" s="4" t="inlineStr">
        <is>
          <t>비고</t>
        </is>
      </c>
    </row>
    <row r="4">
      <c r="A4" s="33" t="n">
        <v>46251</v>
      </c>
      <c r="B4" s="34">
        <f>IF($A4="","",WEEKNUM($A4,21))</f>
        <v/>
      </c>
      <c r="C4" s="35">
        <f>IF($A4="","",CHOOSE(WEEKDAY($A4),"일","월","화","수","목","금","토"))</f>
        <v/>
      </c>
      <c r="D4" s="35" t="inlineStr">
        <is>
          <t>2호기</t>
        </is>
      </c>
      <c r="E4" s="35" t="inlineStr">
        <is>
          <t>주간2교대</t>
        </is>
      </c>
      <c r="F4" s="35" t="inlineStr">
        <is>
          <t>1교대</t>
        </is>
      </c>
      <c r="G4" s="36">
        <f>IF(OR($D4="",$E4=""),"",INDEX('1.기준정보'!$C$22:$H$28,MATCH($D4,'1.기준정보'!$A$22:$A$28,0),MATCH($E4,'1.기준정보'!$C$21:$H$21,0)))</f>
        <v/>
      </c>
      <c r="H4" s="36" t="n">
        <v>2800</v>
      </c>
      <c r="I4" s="36" t="n">
        <v>2650</v>
      </c>
      <c r="J4" s="37">
        <f>IF(OR($G4="",$G4=0,$I4=""),"",$I4/$G4)</f>
        <v/>
      </c>
      <c r="K4" s="35" t="n">
        <v>12</v>
      </c>
      <c r="L4" s="35" t="n">
        <v>8</v>
      </c>
      <c r="M4" s="35" t="n">
        <v>8</v>
      </c>
      <c r="N4" s="35" t="inlineStr">
        <is>
          <t>포장재 미입고</t>
        </is>
      </c>
      <c r="O4" s="35">
        <f>IF($N4="","",IFERROR(INDEX('1.기준정보'!$B$44:$B$55,MATCH($N4,'1.기준정보'!$A$44:$A$55,0)),"미정"))</f>
        <v/>
      </c>
      <c r="P4" s="38">
        <f>IF(OR($M4="",$K4=""),"",$M4*$K4)</f>
        <v/>
      </c>
      <c r="Q4" s="36">
        <f>IF($P4="","",$P4*'1.기준정보'!$B$5)</f>
        <v/>
      </c>
      <c r="R4" s="39" t="inlineStr">
        <is>
          <t>◀ 예시행 — 실제 데이터로 덮어쓰기</t>
        </is>
      </c>
    </row>
    <row r="5">
      <c r="A5" s="40" t="n">
        <v>46251</v>
      </c>
      <c r="B5" s="41">
        <f>IF($A5="","",WEEKNUM($A5,21))</f>
        <v/>
      </c>
      <c r="C5" s="42">
        <f>IF($A5="","",CHOOSE(WEEKDAY($A5),"일","월","화","수","목","금","토"))</f>
        <v/>
      </c>
      <c r="D5" s="42" t="inlineStr">
        <is>
          <t>3호기</t>
        </is>
      </c>
      <c r="E5" s="43" t="n"/>
      <c r="F5" s="43" t="n"/>
      <c r="G5" s="44">
        <f>IF(OR($D5="",$E5=""),"",INDEX('1.기준정보'!$C$22:$H$28,MATCH($D5,'1.기준정보'!$A$22:$A$28,0),MATCH($E5,'1.기준정보'!$C$21:$H$21,0)))</f>
        <v/>
      </c>
      <c r="H5" s="43" t="n"/>
      <c r="I5" s="43" t="n"/>
      <c r="J5" s="45">
        <f>IF(OR($G5="",$G5=0,$I5=""),"",$I5/$G5)</f>
        <v/>
      </c>
      <c r="K5" s="43" t="n"/>
      <c r="L5" s="43" t="n"/>
      <c r="M5" s="43" t="n"/>
      <c r="N5" s="43" t="n"/>
      <c r="O5" s="42">
        <f>IF($N5="","",IFERROR(INDEX('1.기준정보'!$B$44:$B$55,MATCH($N5,'1.기준정보'!$A$44:$A$55,0)),"미정"))</f>
        <v/>
      </c>
      <c r="P5" s="46">
        <f>IF(OR($M5="",$K5=""),"",$M5*$K5)</f>
        <v/>
      </c>
      <c r="Q5" s="44">
        <f>IF($P5="","",$P5*'1.기준정보'!$B$5)</f>
        <v/>
      </c>
      <c r="R5" s="47" t="n"/>
    </row>
    <row r="6">
      <c r="A6" s="40" t="n">
        <v>46251</v>
      </c>
      <c r="B6" s="41">
        <f>IF($A6="","",WEEKNUM($A6,21))</f>
        <v/>
      </c>
      <c r="C6" s="42">
        <f>IF($A6="","",CHOOSE(WEEKDAY($A6),"일","월","화","수","목","금","토"))</f>
        <v/>
      </c>
      <c r="D6" s="42" t="inlineStr">
        <is>
          <t>4호기</t>
        </is>
      </c>
      <c r="E6" s="43" t="n"/>
      <c r="F6" s="43" t="n"/>
      <c r="G6" s="44">
        <f>IF(OR($D6="",$E6=""),"",INDEX('1.기준정보'!$C$22:$H$28,MATCH($D6,'1.기준정보'!$A$22:$A$28,0),MATCH($E6,'1.기준정보'!$C$21:$H$21,0)))</f>
        <v/>
      </c>
      <c r="H6" s="43" t="n"/>
      <c r="I6" s="43" t="n"/>
      <c r="J6" s="45">
        <f>IF(OR($G6="",$G6=0,$I6=""),"",$I6/$G6)</f>
        <v/>
      </c>
      <c r="K6" s="43" t="n"/>
      <c r="L6" s="43" t="n"/>
      <c r="M6" s="43" t="n"/>
      <c r="N6" s="43" t="n"/>
      <c r="O6" s="42">
        <f>IF($N6="","",IFERROR(INDEX('1.기준정보'!$B$44:$B$55,MATCH($N6,'1.기준정보'!$A$44:$A$55,0)),"미정"))</f>
        <v/>
      </c>
      <c r="P6" s="46">
        <f>IF(OR($M6="",$K6=""),"",$M6*$K6)</f>
        <v/>
      </c>
      <c r="Q6" s="44">
        <f>IF($P6="","",$P6*'1.기준정보'!$B$5)</f>
        <v/>
      </c>
      <c r="R6" s="47" t="n"/>
    </row>
    <row r="7">
      <c r="A7" s="40" t="n">
        <v>46251</v>
      </c>
      <c r="B7" s="41">
        <f>IF($A7="","",WEEKNUM($A7,21))</f>
        <v/>
      </c>
      <c r="C7" s="42">
        <f>IF($A7="","",CHOOSE(WEEKDAY($A7),"일","월","화","수","목","금","토"))</f>
        <v/>
      </c>
      <c r="D7" s="42" t="inlineStr">
        <is>
          <t>5호기</t>
        </is>
      </c>
      <c r="E7" s="43" t="n"/>
      <c r="F7" s="43" t="n"/>
      <c r="G7" s="44">
        <f>IF(OR($D7="",$E7=""),"",INDEX('1.기준정보'!$C$22:$H$28,MATCH($D7,'1.기준정보'!$A$22:$A$28,0),MATCH($E7,'1.기준정보'!$C$21:$H$21,0)))</f>
        <v/>
      </c>
      <c r="H7" s="43" t="n"/>
      <c r="I7" s="43" t="n"/>
      <c r="J7" s="45">
        <f>IF(OR($G7="",$G7=0,$I7=""),"",$I7/$G7)</f>
        <v/>
      </c>
      <c r="K7" s="43" t="n"/>
      <c r="L7" s="43" t="n"/>
      <c r="M7" s="43" t="n"/>
      <c r="N7" s="43" t="n"/>
      <c r="O7" s="42">
        <f>IF($N7="","",IFERROR(INDEX('1.기준정보'!$B$44:$B$55,MATCH($N7,'1.기준정보'!$A$44:$A$55,0)),"미정"))</f>
        <v/>
      </c>
      <c r="P7" s="46">
        <f>IF(OR($M7="",$K7=""),"",$M7*$K7)</f>
        <v/>
      </c>
      <c r="Q7" s="44">
        <f>IF($P7="","",$P7*'1.기준정보'!$B$5)</f>
        <v/>
      </c>
      <c r="R7" s="47" t="n"/>
    </row>
    <row r="8">
      <c r="A8" s="40" t="n">
        <v>46251</v>
      </c>
      <c r="B8" s="41">
        <f>IF($A8="","",WEEKNUM($A8,21))</f>
        <v/>
      </c>
      <c r="C8" s="42">
        <f>IF($A8="","",CHOOSE(WEEKDAY($A8),"일","월","화","수","목","금","토"))</f>
        <v/>
      </c>
      <c r="D8" s="42" t="inlineStr">
        <is>
          <t>6호기</t>
        </is>
      </c>
      <c r="E8" s="43" t="n"/>
      <c r="F8" s="43" t="n"/>
      <c r="G8" s="44">
        <f>IF(OR($D8="",$E8=""),"",INDEX('1.기준정보'!$C$22:$H$28,MATCH($D8,'1.기준정보'!$A$22:$A$28,0),MATCH($E8,'1.기준정보'!$C$21:$H$21,0)))</f>
        <v/>
      </c>
      <c r="H8" s="43" t="n"/>
      <c r="I8" s="43" t="n"/>
      <c r="J8" s="45">
        <f>IF(OR($G8="",$G8=0,$I8=""),"",$I8/$G8)</f>
        <v/>
      </c>
      <c r="K8" s="43" t="n"/>
      <c r="L8" s="43" t="n"/>
      <c r="M8" s="43" t="n"/>
      <c r="N8" s="43" t="n"/>
      <c r="O8" s="42">
        <f>IF($N8="","",IFERROR(INDEX('1.기준정보'!$B$44:$B$55,MATCH($N8,'1.기준정보'!$A$44:$A$55,0)),"미정"))</f>
        <v/>
      </c>
      <c r="P8" s="46">
        <f>IF(OR($M8="",$K8=""),"",$M8*$K8)</f>
        <v/>
      </c>
      <c r="Q8" s="44">
        <f>IF($P8="","",$P8*'1.기준정보'!$B$5)</f>
        <v/>
      </c>
      <c r="R8" s="47" t="n"/>
    </row>
    <row r="9">
      <c r="A9" s="40" t="n">
        <v>46251</v>
      </c>
      <c r="B9" s="41">
        <f>IF($A9="","",WEEKNUM($A9,21))</f>
        <v/>
      </c>
      <c r="C9" s="42">
        <f>IF($A9="","",CHOOSE(WEEKDAY($A9),"일","월","화","수","목","금","토"))</f>
        <v/>
      </c>
      <c r="D9" s="42" t="inlineStr">
        <is>
          <t>7호기</t>
        </is>
      </c>
      <c r="E9" s="43" t="n"/>
      <c r="F9" s="43" t="n"/>
      <c r="G9" s="44">
        <f>IF(OR($D9="",$E9=""),"",INDEX('1.기준정보'!$C$22:$H$28,MATCH($D9,'1.기준정보'!$A$22:$A$28,0),MATCH($E9,'1.기준정보'!$C$21:$H$21,0)))</f>
        <v/>
      </c>
      <c r="H9" s="43" t="n"/>
      <c r="I9" s="43" t="n"/>
      <c r="J9" s="45">
        <f>IF(OR($G9="",$G9=0,$I9=""),"",$I9/$G9)</f>
        <v/>
      </c>
      <c r="K9" s="43" t="n"/>
      <c r="L9" s="43" t="n"/>
      <c r="M9" s="43" t="n"/>
      <c r="N9" s="43" t="n"/>
      <c r="O9" s="42">
        <f>IF($N9="","",IFERROR(INDEX('1.기준정보'!$B$44:$B$55,MATCH($N9,'1.기준정보'!$A$44:$A$55,0)),"미정"))</f>
        <v/>
      </c>
      <c r="P9" s="46">
        <f>IF(OR($M9="",$K9=""),"",$M9*$K9)</f>
        <v/>
      </c>
      <c r="Q9" s="44">
        <f>IF($P9="","",$P9*'1.기준정보'!$B$5)</f>
        <v/>
      </c>
      <c r="R9" s="47" t="n"/>
    </row>
    <row r="10">
      <c r="A10" s="40" t="n">
        <v>46251</v>
      </c>
      <c r="B10" s="41">
        <f>IF($A10="","",WEEKNUM($A10,21))</f>
        <v/>
      </c>
      <c r="C10" s="42">
        <f>IF($A10="","",CHOOSE(WEEKDAY($A10),"일","월","화","수","목","금","토"))</f>
        <v/>
      </c>
      <c r="D10" s="42" t="inlineStr">
        <is>
          <t>8호기</t>
        </is>
      </c>
      <c r="E10" s="43" t="n"/>
      <c r="F10" s="43" t="n"/>
      <c r="G10" s="44">
        <f>IF(OR($D10="",$E10=""),"",INDEX('1.기준정보'!$C$22:$H$28,MATCH($D10,'1.기준정보'!$A$22:$A$28,0),MATCH($E10,'1.기준정보'!$C$21:$H$21,0)))</f>
        <v/>
      </c>
      <c r="H10" s="43" t="n"/>
      <c r="I10" s="43" t="n"/>
      <c r="J10" s="45">
        <f>IF(OR($G10="",$G10=0,$I10=""),"",$I10/$G10)</f>
        <v/>
      </c>
      <c r="K10" s="43" t="n"/>
      <c r="L10" s="43" t="n"/>
      <c r="M10" s="43" t="n"/>
      <c r="N10" s="43" t="n"/>
      <c r="O10" s="42">
        <f>IF($N10="","",IFERROR(INDEX('1.기준정보'!$B$44:$B$55,MATCH($N10,'1.기준정보'!$A$44:$A$55,0)),"미정"))</f>
        <v/>
      </c>
      <c r="P10" s="46">
        <f>IF(OR($M10="",$K10=""),"",$M10*$K10)</f>
        <v/>
      </c>
      <c r="Q10" s="44">
        <f>IF($P10="","",$P10*'1.기준정보'!$B$5)</f>
        <v/>
      </c>
      <c r="R10" s="47" t="n"/>
    </row>
    <row r="11">
      <c r="A11" s="40" t="n">
        <v>46252</v>
      </c>
      <c r="B11" s="41">
        <f>IF($A11="","",WEEKNUM($A11,21))</f>
        <v/>
      </c>
      <c r="C11" s="42">
        <f>IF($A11="","",CHOOSE(WEEKDAY($A11),"일","월","화","수","목","금","토"))</f>
        <v/>
      </c>
      <c r="D11" s="42" t="inlineStr">
        <is>
          <t>2호기</t>
        </is>
      </c>
      <c r="E11" s="43" t="n"/>
      <c r="F11" s="43" t="n"/>
      <c r="G11" s="44">
        <f>IF(OR($D11="",$E11=""),"",INDEX('1.기준정보'!$C$22:$H$28,MATCH($D11,'1.기준정보'!$A$22:$A$28,0),MATCH($E11,'1.기준정보'!$C$21:$H$21,0)))</f>
        <v/>
      </c>
      <c r="H11" s="43" t="n"/>
      <c r="I11" s="43" t="n"/>
      <c r="J11" s="45">
        <f>IF(OR($G11="",$G11=0,$I11=""),"",$I11/$G11)</f>
        <v/>
      </c>
      <c r="K11" s="43" t="n"/>
      <c r="L11" s="43" t="n"/>
      <c r="M11" s="43" t="n"/>
      <c r="N11" s="43" t="n"/>
      <c r="O11" s="42">
        <f>IF($N11="","",IFERROR(INDEX('1.기준정보'!$B$44:$B$55,MATCH($N11,'1.기준정보'!$A$44:$A$55,0)),"미정"))</f>
        <v/>
      </c>
      <c r="P11" s="46">
        <f>IF(OR($M11="",$K11=""),"",$M11*$K11)</f>
        <v/>
      </c>
      <c r="Q11" s="44">
        <f>IF($P11="","",$P11*'1.기준정보'!$B$5)</f>
        <v/>
      </c>
      <c r="R11" s="47" t="n"/>
    </row>
    <row r="12">
      <c r="A12" s="40" t="n">
        <v>46252</v>
      </c>
      <c r="B12" s="41">
        <f>IF($A12="","",WEEKNUM($A12,21))</f>
        <v/>
      </c>
      <c r="C12" s="42">
        <f>IF($A12="","",CHOOSE(WEEKDAY($A12),"일","월","화","수","목","금","토"))</f>
        <v/>
      </c>
      <c r="D12" s="42" t="inlineStr">
        <is>
          <t>3호기</t>
        </is>
      </c>
      <c r="E12" s="43" t="n"/>
      <c r="F12" s="43" t="n"/>
      <c r="G12" s="44">
        <f>IF(OR($D12="",$E12=""),"",INDEX('1.기준정보'!$C$22:$H$28,MATCH($D12,'1.기준정보'!$A$22:$A$28,0),MATCH($E12,'1.기준정보'!$C$21:$H$21,0)))</f>
        <v/>
      </c>
      <c r="H12" s="43" t="n"/>
      <c r="I12" s="43" t="n"/>
      <c r="J12" s="45">
        <f>IF(OR($G12="",$G12=0,$I12=""),"",$I12/$G12)</f>
        <v/>
      </c>
      <c r="K12" s="43" t="n"/>
      <c r="L12" s="43" t="n"/>
      <c r="M12" s="43" t="n"/>
      <c r="N12" s="43" t="n"/>
      <c r="O12" s="42">
        <f>IF($N12="","",IFERROR(INDEX('1.기준정보'!$B$44:$B$55,MATCH($N12,'1.기준정보'!$A$44:$A$55,0)),"미정"))</f>
        <v/>
      </c>
      <c r="P12" s="46">
        <f>IF(OR($M12="",$K12=""),"",$M12*$K12)</f>
        <v/>
      </c>
      <c r="Q12" s="44">
        <f>IF($P12="","",$P12*'1.기준정보'!$B$5)</f>
        <v/>
      </c>
      <c r="R12" s="47" t="n"/>
    </row>
    <row r="13">
      <c r="A13" s="40" t="n">
        <v>46252</v>
      </c>
      <c r="B13" s="41">
        <f>IF($A13="","",WEEKNUM($A13,21))</f>
        <v/>
      </c>
      <c r="C13" s="42">
        <f>IF($A13="","",CHOOSE(WEEKDAY($A13),"일","월","화","수","목","금","토"))</f>
        <v/>
      </c>
      <c r="D13" s="42" t="inlineStr">
        <is>
          <t>4호기</t>
        </is>
      </c>
      <c r="E13" s="43" t="n"/>
      <c r="F13" s="43" t="n"/>
      <c r="G13" s="44">
        <f>IF(OR($D13="",$E13=""),"",INDEX('1.기준정보'!$C$22:$H$28,MATCH($D13,'1.기준정보'!$A$22:$A$28,0),MATCH($E13,'1.기준정보'!$C$21:$H$21,0)))</f>
        <v/>
      </c>
      <c r="H13" s="43" t="n"/>
      <c r="I13" s="43" t="n"/>
      <c r="J13" s="45">
        <f>IF(OR($G13="",$G13=0,$I13=""),"",$I13/$G13)</f>
        <v/>
      </c>
      <c r="K13" s="43" t="n"/>
      <c r="L13" s="43" t="n"/>
      <c r="M13" s="43" t="n"/>
      <c r="N13" s="43" t="n"/>
      <c r="O13" s="42">
        <f>IF($N13="","",IFERROR(INDEX('1.기준정보'!$B$44:$B$55,MATCH($N13,'1.기준정보'!$A$44:$A$55,0)),"미정"))</f>
        <v/>
      </c>
      <c r="P13" s="46">
        <f>IF(OR($M13="",$K13=""),"",$M13*$K13)</f>
        <v/>
      </c>
      <c r="Q13" s="44">
        <f>IF($P13="","",$P13*'1.기준정보'!$B$5)</f>
        <v/>
      </c>
      <c r="R13" s="47" t="n"/>
    </row>
    <row r="14">
      <c r="A14" s="40" t="n">
        <v>46252</v>
      </c>
      <c r="B14" s="41">
        <f>IF($A14="","",WEEKNUM($A14,21))</f>
        <v/>
      </c>
      <c r="C14" s="42">
        <f>IF($A14="","",CHOOSE(WEEKDAY($A14),"일","월","화","수","목","금","토"))</f>
        <v/>
      </c>
      <c r="D14" s="42" t="inlineStr">
        <is>
          <t>5호기</t>
        </is>
      </c>
      <c r="E14" s="43" t="n"/>
      <c r="F14" s="43" t="n"/>
      <c r="G14" s="44">
        <f>IF(OR($D14="",$E14=""),"",INDEX('1.기준정보'!$C$22:$H$28,MATCH($D14,'1.기준정보'!$A$22:$A$28,0),MATCH($E14,'1.기준정보'!$C$21:$H$21,0)))</f>
        <v/>
      </c>
      <c r="H14" s="43" t="n"/>
      <c r="I14" s="43" t="n"/>
      <c r="J14" s="45">
        <f>IF(OR($G14="",$G14=0,$I14=""),"",$I14/$G14)</f>
        <v/>
      </c>
      <c r="K14" s="43" t="n"/>
      <c r="L14" s="43" t="n"/>
      <c r="M14" s="43" t="n"/>
      <c r="N14" s="43" t="n"/>
      <c r="O14" s="42">
        <f>IF($N14="","",IFERROR(INDEX('1.기준정보'!$B$44:$B$55,MATCH($N14,'1.기준정보'!$A$44:$A$55,0)),"미정"))</f>
        <v/>
      </c>
      <c r="P14" s="46">
        <f>IF(OR($M14="",$K14=""),"",$M14*$K14)</f>
        <v/>
      </c>
      <c r="Q14" s="44">
        <f>IF($P14="","",$P14*'1.기준정보'!$B$5)</f>
        <v/>
      </c>
      <c r="R14" s="47" t="n"/>
    </row>
    <row r="15">
      <c r="A15" s="40" t="n">
        <v>46252</v>
      </c>
      <c r="B15" s="41">
        <f>IF($A15="","",WEEKNUM($A15,21))</f>
        <v/>
      </c>
      <c r="C15" s="42">
        <f>IF($A15="","",CHOOSE(WEEKDAY($A15),"일","월","화","수","목","금","토"))</f>
        <v/>
      </c>
      <c r="D15" s="42" t="inlineStr">
        <is>
          <t>6호기</t>
        </is>
      </c>
      <c r="E15" s="43" t="n"/>
      <c r="F15" s="43" t="n"/>
      <c r="G15" s="44">
        <f>IF(OR($D15="",$E15=""),"",INDEX('1.기준정보'!$C$22:$H$28,MATCH($D15,'1.기준정보'!$A$22:$A$28,0),MATCH($E15,'1.기준정보'!$C$21:$H$21,0)))</f>
        <v/>
      </c>
      <c r="H15" s="43" t="n"/>
      <c r="I15" s="43" t="n"/>
      <c r="J15" s="45">
        <f>IF(OR($G15="",$G15=0,$I15=""),"",$I15/$G15)</f>
        <v/>
      </c>
      <c r="K15" s="43" t="n"/>
      <c r="L15" s="43" t="n"/>
      <c r="M15" s="43" t="n"/>
      <c r="N15" s="43" t="n"/>
      <c r="O15" s="42">
        <f>IF($N15="","",IFERROR(INDEX('1.기준정보'!$B$44:$B$55,MATCH($N15,'1.기준정보'!$A$44:$A$55,0)),"미정"))</f>
        <v/>
      </c>
      <c r="P15" s="46">
        <f>IF(OR($M15="",$K15=""),"",$M15*$K15)</f>
        <v/>
      </c>
      <c r="Q15" s="44">
        <f>IF($P15="","",$P15*'1.기준정보'!$B$5)</f>
        <v/>
      </c>
      <c r="R15" s="47" t="n"/>
    </row>
    <row r="16">
      <c r="A16" s="40" t="n">
        <v>46252</v>
      </c>
      <c r="B16" s="41">
        <f>IF($A16="","",WEEKNUM($A16,21))</f>
        <v/>
      </c>
      <c r="C16" s="42">
        <f>IF($A16="","",CHOOSE(WEEKDAY($A16),"일","월","화","수","목","금","토"))</f>
        <v/>
      </c>
      <c r="D16" s="42" t="inlineStr">
        <is>
          <t>7호기</t>
        </is>
      </c>
      <c r="E16" s="43" t="n"/>
      <c r="F16" s="43" t="n"/>
      <c r="G16" s="44">
        <f>IF(OR($D16="",$E16=""),"",INDEX('1.기준정보'!$C$22:$H$28,MATCH($D16,'1.기준정보'!$A$22:$A$28,0),MATCH($E16,'1.기준정보'!$C$21:$H$21,0)))</f>
        <v/>
      </c>
      <c r="H16" s="43" t="n"/>
      <c r="I16" s="43" t="n"/>
      <c r="J16" s="45">
        <f>IF(OR($G16="",$G16=0,$I16=""),"",$I16/$G16)</f>
        <v/>
      </c>
      <c r="K16" s="43" t="n"/>
      <c r="L16" s="43" t="n"/>
      <c r="M16" s="43" t="n"/>
      <c r="N16" s="43" t="n"/>
      <c r="O16" s="42">
        <f>IF($N16="","",IFERROR(INDEX('1.기준정보'!$B$44:$B$55,MATCH($N16,'1.기준정보'!$A$44:$A$55,0)),"미정"))</f>
        <v/>
      </c>
      <c r="P16" s="46">
        <f>IF(OR($M16="",$K16=""),"",$M16*$K16)</f>
        <v/>
      </c>
      <c r="Q16" s="44">
        <f>IF($P16="","",$P16*'1.기준정보'!$B$5)</f>
        <v/>
      </c>
      <c r="R16" s="47" t="n"/>
    </row>
    <row r="17">
      <c r="A17" s="40" t="n">
        <v>46252</v>
      </c>
      <c r="B17" s="41">
        <f>IF($A17="","",WEEKNUM($A17,21))</f>
        <v/>
      </c>
      <c r="C17" s="42">
        <f>IF($A17="","",CHOOSE(WEEKDAY($A17),"일","월","화","수","목","금","토"))</f>
        <v/>
      </c>
      <c r="D17" s="42" t="inlineStr">
        <is>
          <t>8호기</t>
        </is>
      </c>
      <c r="E17" s="43" t="n"/>
      <c r="F17" s="43" t="n"/>
      <c r="G17" s="44">
        <f>IF(OR($D17="",$E17=""),"",INDEX('1.기준정보'!$C$22:$H$28,MATCH($D17,'1.기준정보'!$A$22:$A$28,0),MATCH($E17,'1.기준정보'!$C$21:$H$21,0)))</f>
        <v/>
      </c>
      <c r="H17" s="43" t="n"/>
      <c r="I17" s="43" t="n"/>
      <c r="J17" s="45">
        <f>IF(OR($G17="",$G17=0,$I17=""),"",$I17/$G17)</f>
        <v/>
      </c>
      <c r="K17" s="43" t="n"/>
      <c r="L17" s="43" t="n"/>
      <c r="M17" s="43" t="n"/>
      <c r="N17" s="43" t="n"/>
      <c r="O17" s="42">
        <f>IF($N17="","",IFERROR(INDEX('1.기준정보'!$B$44:$B$55,MATCH($N17,'1.기준정보'!$A$44:$A$55,0)),"미정"))</f>
        <v/>
      </c>
      <c r="P17" s="46">
        <f>IF(OR($M17="",$K17=""),"",$M17*$K17)</f>
        <v/>
      </c>
      <c r="Q17" s="44">
        <f>IF($P17="","",$P17*'1.기준정보'!$B$5)</f>
        <v/>
      </c>
      <c r="R17" s="47" t="n"/>
    </row>
    <row r="18">
      <c r="A18" s="40" t="n">
        <v>46253</v>
      </c>
      <c r="B18" s="41">
        <f>IF($A18="","",WEEKNUM($A18,21))</f>
        <v/>
      </c>
      <c r="C18" s="42">
        <f>IF($A18="","",CHOOSE(WEEKDAY($A18),"일","월","화","수","목","금","토"))</f>
        <v/>
      </c>
      <c r="D18" s="42" t="inlineStr">
        <is>
          <t>2호기</t>
        </is>
      </c>
      <c r="E18" s="43" t="n"/>
      <c r="F18" s="43" t="n"/>
      <c r="G18" s="44">
        <f>IF(OR($D18="",$E18=""),"",INDEX('1.기준정보'!$C$22:$H$28,MATCH($D18,'1.기준정보'!$A$22:$A$28,0),MATCH($E18,'1.기준정보'!$C$21:$H$21,0)))</f>
        <v/>
      </c>
      <c r="H18" s="43" t="n"/>
      <c r="I18" s="43" t="n"/>
      <c r="J18" s="45">
        <f>IF(OR($G18="",$G18=0,$I18=""),"",$I18/$G18)</f>
        <v/>
      </c>
      <c r="K18" s="43" t="n"/>
      <c r="L18" s="43" t="n"/>
      <c r="M18" s="43" t="n"/>
      <c r="N18" s="43" t="n"/>
      <c r="O18" s="42">
        <f>IF($N18="","",IFERROR(INDEX('1.기준정보'!$B$44:$B$55,MATCH($N18,'1.기준정보'!$A$44:$A$55,0)),"미정"))</f>
        <v/>
      </c>
      <c r="P18" s="46">
        <f>IF(OR($M18="",$K18=""),"",$M18*$K18)</f>
        <v/>
      </c>
      <c r="Q18" s="44">
        <f>IF($P18="","",$P18*'1.기준정보'!$B$5)</f>
        <v/>
      </c>
      <c r="R18" s="47" t="n"/>
    </row>
    <row r="19">
      <c r="A19" s="40" t="n">
        <v>46253</v>
      </c>
      <c r="B19" s="41">
        <f>IF($A19="","",WEEKNUM($A19,21))</f>
        <v/>
      </c>
      <c r="C19" s="42">
        <f>IF($A19="","",CHOOSE(WEEKDAY($A19),"일","월","화","수","목","금","토"))</f>
        <v/>
      </c>
      <c r="D19" s="42" t="inlineStr">
        <is>
          <t>3호기</t>
        </is>
      </c>
      <c r="E19" s="43" t="n"/>
      <c r="F19" s="43" t="n"/>
      <c r="G19" s="44">
        <f>IF(OR($D19="",$E19=""),"",INDEX('1.기준정보'!$C$22:$H$28,MATCH($D19,'1.기준정보'!$A$22:$A$28,0),MATCH($E19,'1.기준정보'!$C$21:$H$21,0)))</f>
        <v/>
      </c>
      <c r="H19" s="43" t="n"/>
      <c r="I19" s="43" t="n"/>
      <c r="J19" s="45">
        <f>IF(OR($G19="",$G19=0,$I19=""),"",$I19/$G19)</f>
        <v/>
      </c>
      <c r="K19" s="43" t="n"/>
      <c r="L19" s="43" t="n"/>
      <c r="M19" s="43" t="n"/>
      <c r="N19" s="43" t="n"/>
      <c r="O19" s="42">
        <f>IF($N19="","",IFERROR(INDEX('1.기준정보'!$B$44:$B$55,MATCH($N19,'1.기준정보'!$A$44:$A$55,0)),"미정"))</f>
        <v/>
      </c>
      <c r="P19" s="46">
        <f>IF(OR($M19="",$K19=""),"",$M19*$K19)</f>
        <v/>
      </c>
      <c r="Q19" s="44">
        <f>IF($P19="","",$P19*'1.기준정보'!$B$5)</f>
        <v/>
      </c>
      <c r="R19" s="47" t="n"/>
    </row>
    <row r="20">
      <c r="A20" s="40" t="n">
        <v>46253</v>
      </c>
      <c r="B20" s="41">
        <f>IF($A20="","",WEEKNUM($A20,21))</f>
        <v/>
      </c>
      <c r="C20" s="42">
        <f>IF($A20="","",CHOOSE(WEEKDAY($A20),"일","월","화","수","목","금","토"))</f>
        <v/>
      </c>
      <c r="D20" s="42" t="inlineStr">
        <is>
          <t>4호기</t>
        </is>
      </c>
      <c r="E20" s="43" t="n"/>
      <c r="F20" s="43" t="n"/>
      <c r="G20" s="44">
        <f>IF(OR($D20="",$E20=""),"",INDEX('1.기준정보'!$C$22:$H$28,MATCH($D20,'1.기준정보'!$A$22:$A$28,0),MATCH($E20,'1.기준정보'!$C$21:$H$21,0)))</f>
        <v/>
      </c>
      <c r="H20" s="43" t="n"/>
      <c r="I20" s="43" t="n"/>
      <c r="J20" s="45">
        <f>IF(OR($G20="",$G20=0,$I20=""),"",$I20/$G20)</f>
        <v/>
      </c>
      <c r="K20" s="43" t="n"/>
      <c r="L20" s="43" t="n"/>
      <c r="M20" s="43" t="n"/>
      <c r="N20" s="43" t="n"/>
      <c r="O20" s="42">
        <f>IF($N20="","",IFERROR(INDEX('1.기준정보'!$B$44:$B$55,MATCH($N20,'1.기준정보'!$A$44:$A$55,0)),"미정"))</f>
        <v/>
      </c>
      <c r="P20" s="46">
        <f>IF(OR($M20="",$K20=""),"",$M20*$K20)</f>
        <v/>
      </c>
      <c r="Q20" s="44">
        <f>IF($P20="","",$P20*'1.기준정보'!$B$5)</f>
        <v/>
      </c>
      <c r="R20" s="47" t="n"/>
    </row>
    <row r="21">
      <c r="A21" s="40" t="n">
        <v>46253</v>
      </c>
      <c r="B21" s="41">
        <f>IF($A21="","",WEEKNUM($A21,21))</f>
        <v/>
      </c>
      <c r="C21" s="42">
        <f>IF($A21="","",CHOOSE(WEEKDAY($A21),"일","월","화","수","목","금","토"))</f>
        <v/>
      </c>
      <c r="D21" s="42" t="inlineStr">
        <is>
          <t>5호기</t>
        </is>
      </c>
      <c r="E21" s="43" t="n"/>
      <c r="F21" s="43" t="n"/>
      <c r="G21" s="44">
        <f>IF(OR($D21="",$E21=""),"",INDEX('1.기준정보'!$C$22:$H$28,MATCH($D21,'1.기준정보'!$A$22:$A$28,0),MATCH($E21,'1.기준정보'!$C$21:$H$21,0)))</f>
        <v/>
      </c>
      <c r="H21" s="43" t="n"/>
      <c r="I21" s="43" t="n"/>
      <c r="J21" s="45">
        <f>IF(OR($G21="",$G21=0,$I21=""),"",$I21/$G21)</f>
        <v/>
      </c>
      <c r="K21" s="43" t="n"/>
      <c r="L21" s="43" t="n"/>
      <c r="M21" s="43" t="n"/>
      <c r="N21" s="43" t="n"/>
      <c r="O21" s="42">
        <f>IF($N21="","",IFERROR(INDEX('1.기준정보'!$B$44:$B$55,MATCH($N21,'1.기준정보'!$A$44:$A$55,0)),"미정"))</f>
        <v/>
      </c>
      <c r="P21" s="46">
        <f>IF(OR($M21="",$K21=""),"",$M21*$K21)</f>
        <v/>
      </c>
      <c r="Q21" s="44">
        <f>IF($P21="","",$P21*'1.기준정보'!$B$5)</f>
        <v/>
      </c>
      <c r="R21" s="47" t="n"/>
    </row>
    <row r="22">
      <c r="A22" s="40" t="n">
        <v>46253</v>
      </c>
      <c r="B22" s="41">
        <f>IF($A22="","",WEEKNUM($A22,21))</f>
        <v/>
      </c>
      <c r="C22" s="42">
        <f>IF($A22="","",CHOOSE(WEEKDAY($A22),"일","월","화","수","목","금","토"))</f>
        <v/>
      </c>
      <c r="D22" s="42" t="inlineStr">
        <is>
          <t>6호기</t>
        </is>
      </c>
      <c r="E22" s="43" t="n"/>
      <c r="F22" s="43" t="n"/>
      <c r="G22" s="44">
        <f>IF(OR($D22="",$E22=""),"",INDEX('1.기준정보'!$C$22:$H$28,MATCH($D22,'1.기준정보'!$A$22:$A$28,0),MATCH($E22,'1.기준정보'!$C$21:$H$21,0)))</f>
        <v/>
      </c>
      <c r="H22" s="43" t="n"/>
      <c r="I22" s="43" t="n"/>
      <c r="J22" s="45">
        <f>IF(OR($G22="",$G22=0,$I22=""),"",$I22/$G22)</f>
        <v/>
      </c>
      <c r="K22" s="43" t="n"/>
      <c r="L22" s="43" t="n"/>
      <c r="M22" s="43" t="n"/>
      <c r="N22" s="43" t="n"/>
      <c r="O22" s="42">
        <f>IF($N22="","",IFERROR(INDEX('1.기준정보'!$B$44:$B$55,MATCH($N22,'1.기준정보'!$A$44:$A$55,0)),"미정"))</f>
        <v/>
      </c>
      <c r="P22" s="46">
        <f>IF(OR($M22="",$K22=""),"",$M22*$K22)</f>
        <v/>
      </c>
      <c r="Q22" s="44">
        <f>IF($P22="","",$P22*'1.기준정보'!$B$5)</f>
        <v/>
      </c>
      <c r="R22" s="47" t="n"/>
    </row>
    <row r="23">
      <c r="A23" s="40" t="n">
        <v>46253</v>
      </c>
      <c r="B23" s="41">
        <f>IF($A23="","",WEEKNUM($A23,21))</f>
        <v/>
      </c>
      <c r="C23" s="42">
        <f>IF($A23="","",CHOOSE(WEEKDAY($A23),"일","월","화","수","목","금","토"))</f>
        <v/>
      </c>
      <c r="D23" s="42" t="inlineStr">
        <is>
          <t>7호기</t>
        </is>
      </c>
      <c r="E23" s="43" t="n"/>
      <c r="F23" s="43" t="n"/>
      <c r="G23" s="44">
        <f>IF(OR($D23="",$E23=""),"",INDEX('1.기준정보'!$C$22:$H$28,MATCH($D23,'1.기준정보'!$A$22:$A$28,0),MATCH($E23,'1.기준정보'!$C$21:$H$21,0)))</f>
        <v/>
      </c>
      <c r="H23" s="43" t="n"/>
      <c r="I23" s="43" t="n"/>
      <c r="J23" s="45">
        <f>IF(OR($G23="",$G23=0,$I23=""),"",$I23/$G23)</f>
        <v/>
      </c>
      <c r="K23" s="43" t="n"/>
      <c r="L23" s="43" t="n"/>
      <c r="M23" s="43" t="n"/>
      <c r="N23" s="43" t="n"/>
      <c r="O23" s="42">
        <f>IF($N23="","",IFERROR(INDEX('1.기준정보'!$B$44:$B$55,MATCH($N23,'1.기준정보'!$A$44:$A$55,0)),"미정"))</f>
        <v/>
      </c>
      <c r="P23" s="46">
        <f>IF(OR($M23="",$K23=""),"",$M23*$K23)</f>
        <v/>
      </c>
      <c r="Q23" s="44">
        <f>IF($P23="","",$P23*'1.기준정보'!$B$5)</f>
        <v/>
      </c>
      <c r="R23" s="47" t="n"/>
    </row>
    <row r="24">
      <c r="A24" s="40" t="n">
        <v>46253</v>
      </c>
      <c r="B24" s="41">
        <f>IF($A24="","",WEEKNUM($A24,21))</f>
        <v/>
      </c>
      <c r="C24" s="42">
        <f>IF($A24="","",CHOOSE(WEEKDAY($A24),"일","월","화","수","목","금","토"))</f>
        <v/>
      </c>
      <c r="D24" s="42" t="inlineStr">
        <is>
          <t>8호기</t>
        </is>
      </c>
      <c r="E24" s="43" t="n"/>
      <c r="F24" s="43" t="n"/>
      <c r="G24" s="44">
        <f>IF(OR($D24="",$E24=""),"",INDEX('1.기준정보'!$C$22:$H$28,MATCH($D24,'1.기준정보'!$A$22:$A$28,0),MATCH($E24,'1.기준정보'!$C$21:$H$21,0)))</f>
        <v/>
      </c>
      <c r="H24" s="43" t="n"/>
      <c r="I24" s="43" t="n"/>
      <c r="J24" s="45">
        <f>IF(OR($G24="",$G24=0,$I24=""),"",$I24/$G24)</f>
        <v/>
      </c>
      <c r="K24" s="43" t="n"/>
      <c r="L24" s="43" t="n"/>
      <c r="M24" s="43" t="n"/>
      <c r="N24" s="43" t="n"/>
      <c r="O24" s="42">
        <f>IF($N24="","",IFERROR(INDEX('1.기준정보'!$B$44:$B$55,MATCH($N24,'1.기준정보'!$A$44:$A$55,0)),"미정"))</f>
        <v/>
      </c>
      <c r="P24" s="46">
        <f>IF(OR($M24="",$K24=""),"",$M24*$K24)</f>
        <v/>
      </c>
      <c r="Q24" s="44">
        <f>IF($P24="","",$P24*'1.기준정보'!$B$5)</f>
        <v/>
      </c>
      <c r="R24" s="47" t="n"/>
    </row>
    <row r="25">
      <c r="A25" s="40" t="n">
        <v>46254</v>
      </c>
      <c r="B25" s="41">
        <f>IF($A25="","",WEEKNUM($A25,21))</f>
        <v/>
      </c>
      <c r="C25" s="42">
        <f>IF($A25="","",CHOOSE(WEEKDAY($A25),"일","월","화","수","목","금","토"))</f>
        <v/>
      </c>
      <c r="D25" s="42" t="inlineStr">
        <is>
          <t>2호기</t>
        </is>
      </c>
      <c r="E25" s="43" t="n"/>
      <c r="F25" s="43" t="n"/>
      <c r="G25" s="44">
        <f>IF(OR($D25="",$E25=""),"",INDEX('1.기준정보'!$C$22:$H$28,MATCH($D25,'1.기준정보'!$A$22:$A$28,0),MATCH($E25,'1.기준정보'!$C$21:$H$21,0)))</f>
        <v/>
      </c>
      <c r="H25" s="43" t="n"/>
      <c r="I25" s="43" t="n"/>
      <c r="J25" s="45">
        <f>IF(OR($G25="",$G25=0,$I25=""),"",$I25/$G25)</f>
        <v/>
      </c>
      <c r="K25" s="43" t="n"/>
      <c r="L25" s="43" t="n"/>
      <c r="M25" s="43" t="n"/>
      <c r="N25" s="43" t="n"/>
      <c r="O25" s="42">
        <f>IF($N25="","",IFERROR(INDEX('1.기준정보'!$B$44:$B$55,MATCH($N25,'1.기준정보'!$A$44:$A$55,0)),"미정"))</f>
        <v/>
      </c>
      <c r="P25" s="46">
        <f>IF(OR($M25="",$K25=""),"",$M25*$K25)</f>
        <v/>
      </c>
      <c r="Q25" s="44">
        <f>IF($P25="","",$P25*'1.기준정보'!$B$5)</f>
        <v/>
      </c>
      <c r="R25" s="47" t="n"/>
    </row>
    <row r="26">
      <c r="A26" s="40" t="n">
        <v>46254</v>
      </c>
      <c r="B26" s="41">
        <f>IF($A26="","",WEEKNUM($A26,21))</f>
        <v/>
      </c>
      <c r="C26" s="42">
        <f>IF($A26="","",CHOOSE(WEEKDAY($A26),"일","월","화","수","목","금","토"))</f>
        <v/>
      </c>
      <c r="D26" s="42" t="inlineStr">
        <is>
          <t>3호기</t>
        </is>
      </c>
      <c r="E26" s="43" t="n"/>
      <c r="F26" s="43" t="n"/>
      <c r="G26" s="44">
        <f>IF(OR($D26="",$E26=""),"",INDEX('1.기준정보'!$C$22:$H$28,MATCH($D26,'1.기준정보'!$A$22:$A$28,0),MATCH($E26,'1.기준정보'!$C$21:$H$21,0)))</f>
        <v/>
      </c>
      <c r="H26" s="43" t="n"/>
      <c r="I26" s="43" t="n"/>
      <c r="J26" s="45">
        <f>IF(OR($G26="",$G26=0,$I26=""),"",$I26/$G26)</f>
        <v/>
      </c>
      <c r="K26" s="43" t="n"/>
      <c r="L26" s="43" t="n"/>
      <c r="M26" s="43" t="n"/>
      <c r="N26" s="43" t="n"/>
      <c r="O26" s="42">
        <f>IF($N26="","",IFERROR(INDEX('1.기준정보'!$B$44:$B$55,MATCH($N26,'1.기준정보'!$A$44:$A$55,0)),"미정"))</f>
        <v/>
      </c>
      <c r="P26" s="46">
        <f>IF(OR($M26="",$K26=""),"",$M26*$K26)</f>
        <v/>
      </c>
      <c r="Q26" s="44">
        <f>IF($P26="","",$P26*'1.기준정보'!$B$5)</f>
        <v/>
      </c>
      <c r="R26" s="47" t="n"/>
    </row>
    <row r="27">
      <c r="A27" s="40" t="n">
        <v>46254</v>
      </c>
      <c r="B27" s="41">
        <f>IF($A27="","",WEEKNUM($A27,21))</f>
        <v/>
      </c>
      <c r="C27" s="42">
        <f>IF($A27="","",CHOOSE(WEEKDAY($A27),"일","월","화","수","목","금","토"))</f>
        <v/>
      </c>
      <c r="D27" s="42" t="inlineStr">
        <is>
          <t>4호기</t>
        </is>
      </c>
      <c r="E27" s="43" t="n"/>
      <c r="F27" s="43" t="n"/>
      <c r="G27" s="44">
        <f>IF(OR($D27="",$E27=""),"",INDEX('1.기준정보'!$C$22:$H$28,MATCH($D27,'1.기준정보'!$A$22:$A$28,0),MATCH($E27,'1.기준정보'!$C$21:$H$21,0)))</f>
        <v/>
      </c>
      <c r="H27" s="43" t="n"/>
      <c r="I27" s="43" t="n"/>
      <c r="J27" s="45">
        <f>IF(OR($G27="",$G27=0,$I27=""),"",$I27/$G27)</f>
        <v/>
      </c>
      <c r="K27" s="43" t="n"/>
      <c r="L27" s="43" t="n"/>
      <c r="M27" s="43" t="n"/>
      <c r="N27" s="43" t="n"/>
      <c r="O27" s="42">
        <f>IF($N27="","",IFERROR(INDEX('1.기준정보'!$B$44:$B$55,MATCH($N27,'1.기준정보'!$A$44:$A$55,0)),"미정"))</f>
        <v/>
      </c>
      <c r="P27" s="46">
        <f>IF(OR($M27="",$K27=""),"",$M27*$K27)</f>
        <v/>
      </c>
      <c r="Q27" s="44">
        <f>IF($P27="","",$P27*'1.기준정보'!$B$5)</f>
        <v/>
      </c>
      <c r="R27" s="47" t="n"/>
    </row>
    <row r="28">
      <c r="A28" s="40" t="n">
        <v>46254</v>
      </c>
      <c r="B28" s="41">
        <f>IF($A28="","",WEEKNUM($A28,21))</f>
        <v/>
      </c>
      <c r="C28" s="42">
        <f>IF($A28="","",CHOOSE(WEEKDAY($A28),"일","월","화","수","목","금","토"))</f>
        <v/>
      </c>
      <c r="D28" s="42" t="inlineStr">
        <is>
          <t>5호기</t>
        </is>
      </c>
      <c r="E28" s="43" t="n"/>
      <c r="F28" s="43" t="n"/>
      <c r="G28" s="44">
        <f>IF(OR($D28="",$E28=""),"",INDEX('1.기준정보'!$C$22:$H$28,MATCH($D28,'1.기준정보'!$A$22:$A$28,0),MATCH($E28,'1.기준정보'!$C$21:$H$21,0)))</f>
        <v/>
      </c>
      <c r="H28" s="43" t="n"/>
      <c r="I28" s="43" t="n"/>
      <c r="J28" s="45">
        <f>IF(OR($G28="",$G28=0,$I28=""),"",$I28/$G28)</f>
        <v/>
      </c>
      <c r="K28" s="43" t="n"/>
      <c r="L28" s="43" t="n"/>
      <c r="M28" s="43" t="n"/>
      <c r="N28" s="43" t="n"/>
      <c r="O28" s="42">
        <f>IF($N28="","",IFERROR(INDEX('1.기준정보'!$B$44:$B$55,MATCH($N28,'1.기준정보'!$A$44:$A$55,0)),"미정"))</f>
        <v/>
      </c>
      <c r="P28" s="46">
        <f>IF(OR($M28="",$K28=""),"",$M28*$K28)</f>
        <v/>
      </c>
      <c r="Q28" s="44">
        <f>IF($P28="","",$P28*'1.기준정보'!$B$5)</f>
        <v/>
      </c>
      <c r="R28" s="47" t="n"/>
    </row>
    <row r="29">
      <c r="A29" s="40" t="n">
        <v>46254</v>
      </c>
      <c r="B29" s="41">
        <f>IF($A29="","",WEEKNUM($A29,21))</f>
        <v/>
      </c>
      <c r="C29" s="42">
        <f>IF($A29="","",CHOOSE(WEEKDAY($A29),"일","월","화","수","목","금","토"))</f>
        <v/>
      </c>
      <c r="D29" s="42" t="inlineStr">
        <is>
          <t>6호기</t>
        </is>
      </c>
      <c r="E29" s="43" t="n"/>
      <c r="F29" s="43" t="n"/>
      <c r="G29" s="44">
        <f>IF(OR($D29="",$E29=""),"",INDEX('1.기준정보'!$C$22:$H$28,MATCH($D29,'1.기준정보'!$A$22:$A$28,0),MATCH($E29,'1.기준정보'!$C$21:$H$21,0)))</f>
        <v/>
      </c>
      <c r="H29" s="43" t="n"/>
      <c r="I29" s="43" t="n"/>
      <c r="J29" s="45">
        <f>IF(OR($G29="",$G29=0,$I29=""),"",$I29/$G29)</f>
        <v/>
      </c>
      <c r="K29" s="43" t="n"/>
      <c r="L29" s="43" t="n"/>
      <c r="M29" s="43" t="n"/>
      <c r="N29" s="43" t="n"/>
      <c r="O29" s="42">
        <f>IF($N29="","",IFERROR(INDEX('1.기준정보'!$B$44:$B$55,MATCH($N29,'1.기준정보'!$A$44:$A$55,0)),"미정"))</f>
        <v/>
      </c>
      <c r="P29" s="46">
        <f>IF(OR($M29="",$K29=""),"",$M29*$K29)</f>
        <v/>
      </c>
      <c r="Q29" s="44">
        <f>IF($P29="","",$P29*'1.기준정보'!$B$5)</f>
        <v/>
      </c>
      <c r="R29" s="47" t="n"/>
    </row>
    <row r="30">
      <c r="A30" s="40" t="n">
        <v>46254</v>
      </c>
      <c r="B30" s="41">
        <f>IF($A30="","",WEEKNUM($A30,21))</f>
        <v/>
      </c>
      <c r="C30" s="42">
        <f>IF($A30="","",CHOOSE(WEEKDAY($A30),"일","월","화","수","목","금","토"))</f>
        <v/>
      </c>
      <c r="D30" s="42" t="inlineStr">
        <is>
          <t>7호기</t>
        </is>
      </c>
      <c r="E30" s="43" t="n"/>
      <c r="F30" s="43" t="n"/>
      <c r="G30" s="44">
        <f>IF(OR($D30="",$E30=""),"",INDEX('1.기준정보'!$C$22:$H$28,MATCH($D30,'1.기준정보'!$A$22:$A$28,0),MATCH($E30,'1.기준정보'!$C$21:$H$21,0)))</f>
        <v/>
      </c>
      <c r="H30" s="43" t="n"/>
      <c r="I30" s="43" t="n"/>
      <c r="J30" s="45">
        <f>IF(OR($G30="",$G30=0,$I30=""),"",$I30/$G30)</f>
        <v/>
      </c>
      <c r="K30" s="43" t="n"/>
      <c r="L30" s="43" t="n"/>
      <c r="M30" s="43" t="n"/>
      <c r="N30" s="43" t="n"/>
      <c r="O30" s="42">
        <f>IF($N30="","",IFERROR(INDEX('1.기준정보'!$B$44:$B$55,MATCH($N30,'1.기준정보'!$A$44:$A$55,0)),"미정"))</f>
        <v/>
      </c>
      <c r="P30" s="46">
        <f>IF(OR($M30="",$K30=""),"",$M30*$K30)</f>
        <v/>
      </c>
      <c r="Q30" s="44">
        <f>IF($P30="","",$P30*'1.기준정보'!$B$5)</f>
        <v/>
      </c>
      <c r="R30" s="47" t="n"/>
    </row>
    <row r="31">
      <c r="A31" s="40" t="n">
        <v>46254</v>
      </c>
      <c r="B31" s="41">
        <f>IF($A31="","",WEEKNUM($A31,21))</f>
        <v/>
      </c>
      <c r="C31" s="42">
        <f>IF($A31="","",CHOOSE(WEEKDAY($A31),"일","월","화","수","목","금","토"))</f>
        <v/>
      </c>
      <c r="D31" s="42" t="inlineStr">
        <is>
          <t>8호기</t>
        </is>
      </c>
      <c r="E31" s="43" t="n"/>
      <c r="F31" s="43" t="n"/>
      <c r="G31" s="44">
        <f>IF(OR($D31="",$E31=""),"",INDEX('1.기준정보'!$C$22:$H$28,MATCH($D31,'1.기준정보'!$A$22:$A$28,0),MATCH($E31,'1.기준정보'!$C$21:$H$21,0)))</f>
        <v/>
      </c>
      <c r="H31" s="43" t="n"/>
      <c r="I31" s="43" t="n"/>
      <c r="J31" s="45">
        <f>IF(OR($G31="",$G31=0,$I31=""),"",$I31/$G31)</f>
        <v/>
      </c>
      <c r="K31" s="43" t="n"/>
      <c r="L31" s="43" t="n"/>
      <c r="M31" s="43" t="n"/>
      <c r="N31" s="43" t="n"/>
      <c r="O31" s="42">
        <f>IF($N31="","",IFERROR(INDEX('1.기준정보'!$B$44:$B$55,MATCH($N31,'1.기준정보'!$A$44:$A$55,0)),"미정"))</f>
        <v/>
      </c>
      <c r="P31" s="46">
        <f>IF(OR($M31="",$K31=""),"",$M31*$K31)</f>
        <v/>
      </c>
      <c r="Q31" s="44">
        <f>IF($P31="","",$P31*'1.기준정보'!$B$5)</f>
        <v/>
      </c>
      <c r="R31" s="47" t="n"/>
    </row>
    <row r="32">
      <c r="A32" s="40" t="n">
        <v>46255</v>
      </c>
      <c r="B32" s="41">
        <f>IF($A32="","",WEEKNUM($A32,21))</f>
        <v/>
      </c>
      <c r="C32" s="42">
        <f>IF($A32="","",CHOOSE(WEEKDAY($A32),"일","월","화","수","목","금","토"))</f>
        <v/>
      </c>
      <c r="D32" s="42" t="inlineStr">
        <is>
          <t>2호기</t>
        </is>
      </c>
      <c r="E32" s="43" t="n"/>
      <c r="F32" s="43" t="n"/>
      <c r="G32" s="44">
        <f>IF(OR($D32="",$E32=""),"",INDEX('1.기준정보'!$C$22:$H$28,MATCH($D32,'1.기준정보'!$A$22:$A$28,0),MATCH($E32,'1.기준정보'!$C$21:$H$21,0)))</f>
        <v/>
      </c>
      <c r="H32" s="43" t="n"/>
      <c r="I32" s="43" t="n"/>
      <c r="J32" s="45">
        <f>IF(OR($G32="",$G32=0,$I32=""),"",$I32/$G32)</f>
        <v/>
      </c>
      <c r="K32" s="43" t="n"/>
      <c r="L32" s="43" t="n"/>
      <c r="M32" s="43" t="n"/>
      <c r="N32" s="43" t="n"/>
      <c r="O32" s="42">
        <f>IF($N32="","",IFERROR(INDEX('1.기준정보'!$B$44:$B$55,MATCH($N32,'1.기준정보'!$A$44:$A$55,0)),"미정"))</f>
        <v/>
      </c>
      <c r="P32" s="46">
        <f>IF(OR($M32="",$K32=""),"",$M32*$K32)</f>
        <v/>
      </c>
      <c r="Q32" s="44">
        <f>IF($P32="","",$P32*'1.기준정보'!$B$5)</f>
        <v/>
      </c>
      <c r="R32" s="47" t="n"/>
    </row>
    <row r="33">
      <c r="A33" s="40" t="n">
        <v>46255</v>
      </c>
      <c r="B33" s="41">
        <f>IF($A33="","",WEEKNUM($A33,21))</f>
        <v/>
      </c>
      <c r="C33" s="42">
        <f>IF($A33="","",CHOOSE(WEEKDAY($A33),"일","월","화","수","목","금","토"))</f>
        <v/>
      </c>
      <c r="D33" s="42" t="inlineStr">
        <is>
          <t>3호기</t>
        </is>
      </c>
      <c r="E33" s="43" t="n"/>
      <c r="F33" s="43" t="n"/>
      <c r="G33" s="44">
        <f>IF(OR($D33="",$E33=""),"",INDEX('1.기준정보'!$C$22:$H$28,MATCH($D33,'1.기준정보'!$A$22:$A$28,0),MATCH($E33,'1.기준정보'!$C$21:$H$21,0)))</f>
        <v/>
      </c>
      <c r="H33" s="43" t="n"/>
      <c r="I33" s="43" t="n"/>
      <c r="J33" s="45">
        <f>IF(OR($G33="",$G33=0,$I33=""),"",$I33/$G33)</f>
        <v/>
      </c>
      <c r="K33" s="43" t="n"/>
      <c r="L33" s="43" t="n"/>
      <c r="M33" s="43" t="n"/>
      <c r="N33" s="43" t="n"/>
      <c r="O33" s="42">
        <f>IF($N33="","",IFERROR(INDEX('1.기준정보'!$B$44:$B$55,MATCH($N33,'1.기준정보'!$A$44:$A$55,0)),"미정"))</f>
        <v/>
      </c>
      <c r="P33" s="46">
        <f>IF(OR($M33="",$K33=""),"",$M33*$K33)</f>
        <v/>
      </c>
      <c r="Q33" s="44">
        <f>IF($P33="","",$P33*'1.기준정보'!$B$5)</f>
        <v/>
      </c>
      <c r="R33" s="47" t="n"/>
    </row>
    <row r="34">
      <c r="A34" s="40" t="n">
        <v>46255</v>
      </c>
      <c r="B34" s="41">
        <f>IF($A34="","",WEEKNUM($A34,21))</f>
        <v/>
      </c>
      <c r="C34" s="42">
        <f>IF($A34="","",CHOOSE(WEEKDAY($A34),"일","월","화","수","목","금","토"))</f>
        <v/>
      </c>
      <c r="D34" s="42" t="inlineStr">
        <is>
          <t>4호기</t>
        </is>
      </c>
      <c r="E34" s="43" t="n"/>
      <c r="F34" s="43" t="n"/>
      <c r="G34" s="44">
        <f>IF(OR($D34="",$E34=""),"",INDEX('1.기준정보'!$C$22:$H$28,MATCH($D34,'1.기준정보'!$A$22:$A$28,0),MATCH($E34,'1.기준정보'!$C$21:$H$21,0)))</f>
        <v/>
      </c>
      <c r="H34" s="43" t="n"/>
      <c r="I34" s="43" t="n"/>
      <c r="J34" s="45">
        <f>IF(OR($G34="",$G34=0,$I34=""),"",$I34/$G34)</f>
        <v/>
      </c>
      <c r="K34" s="43" t="n"/>
      <c r="L34" s="43" t="n"/>
      <c r="M34" s="43" t="n"/>
      <c r="N34" s="43" t="n"/>
      <c r="O34" s="42">
        <f>IF($N34="","",IFERROR(INDEX('1.기준정보'!$B$44:$B$55,MATCH($N34,'1.기준정보'!$A$44:$A$55,0)),"미정"))</f>
        <v/>
      </c>
      <c r="P34" s="46">
        <f>IF(OR($M34="",$K34=""),"",$M34*$K34)</f>
        <v/>
      </c>
      <c r="Q34" s="44">
        <f>IF($P34="","",$P34*'1.기준정보'!$B$5)</f>
        <v/>
      </c>
      <c r="R34" s="47" t="n"/>
    </row>
    <row r="35">
      <c r="A35" s="40" t="n">
        <v>46255</v>
      </c>
      <c r="B35" s="41">
        <f>IF($A35="","",WEEKNUM($A35,21))</f>
        <v/>
      </c>
      <c r="C35" s="42">
        <f>IF($A35="","",CHOOSE(WEEKDAY($A35),"일","월","화","수","목","금","토"))</f>
        <v/>
      </c>
      <c r="D35" s="42" t="inlineStr">
        <is>
          <t>5호기</t>
        </is>
      </c>
      <c r="E35" s="43" t="n"/>
      <c r="F35" s="43" t="n"/>
      <c r="G35" s="44">
        <f>IF(OR($D35="",$E35=""),"",INDEX('1.기준정보'!$C$22:$H$28,MATCH($D35,'1.기준정보'!$A$22:$A$28,0),MATCH($E35,'1.기준정보'!$C$21:$H$21,0)))</f>
        <v/>
      </c>
      <c r="H35" s="43" t="n"/>
      <c r="I35" s="43" t="n"/>
      <c r="J35" s="45">
        <f>IF(OR($G35="",$G35=0,$I35=""),"",$I35/$G35)</f>
        <v/>
      </c>
      <c r="K35" s="43" t="n"/>
      <c r="L35" s="43" t="n"/>
      <c r="M35" s="43" t="n"/>
      <c r="N35" s="43" t="n"/>
      <c r="O35" s="42">
        <f>IF($N35="","",IFERROR(INDEX('1.기준정보'!$B$44:$B$55,MATCH($N35,'1.기준정보'!$A$44:$A$55,0)),"미정"))</f>
        <v/>
      </c>
      <c r="P35" s="46">
        <f>IF(OR($M35="",$K35=""),"",$M35*$K35)</f>
        <v/>
      </c>
      <c r="Q35" s="44">
        <f>IF($P35="","",$P35*'1.기준정보'!$B$5)</f>
        <v/>
      </c>
      <c r="R35" s="47" t="n"/>
    </row>
    <row r="36">
      <c r="A36" s="40" t="n">
        <v>46255</v>
      </c>
      <c r="B36" s="41">
        <f>IF($A36="","",WEEKNUM($A36,21))</f>
        <v/>
      </c>
      <c r="C36" s="42">
        <f>IF($A36="","",CHOOSE(WEEKDAY($A36),"일","월","화","수","목","금","토"))</f>
        <v/>
      </c>
      <c r="D36" s="42" t="inlineStr">
        <is>
          <t>6호기</t>
        </is>
      </c>
      <c r="E36" s="43" t="n"/>
      <c r="F36" s="43" t="n"/>
      <c r="G36" s="44">
        <f>IF(OR($D36="",$E36=""),"",INDEX('1.기준정보'!$C$22:$H$28,MATCH($D36,'1.기준정보'!$A$22:$A$28,0),MATCH($E36,'1.기준정보'!$C$21:$H$21,0)))</f>
        <v/>
      </c>
      <c r="H36" s="43" t="n"/>
      <c r="I36" s="43" t="n"/>
      <c r="J36" s="45">
        <f>IF(OR($G36="",$G36=0,$I36=""),"",$I36/$G36)</f>
        <v/>
      </c>
      <c r="K36" s="43" t="n"/>
      <c r="L36" s="43" t="n"/>
      <c r="M36" s="43" t="n"/>
      <c r="N36" s="43" t="n"/>
      <c r="O36" s="42">
        <f>IF($N36="","",IFERROR(INDEX('1.기준정보'!$B$44:$B$55,MATCH($N36,'1.기준정보'!$A$44:$A$55,0)),"미정"))</f>
        <v/>
      </c>
      <c r="P36" s="46">
        <f>IF(OR($M36="",$K36=""),"",$M36*$K36)</f>
        <v/>
      </c>
      <c r="Q36" s="44">
        <f>IF($P36="","",$P36*'1.기준정보'!$B$5)</f>
        <v/>
      </c>
      <c r="R36" s="47" t="n"/>
    </row>
    <row r="37">
      <c r="A37" s="40" t="n">
        <v>46255</v>
      </c>
      <c r="B37" s="41">
        <f>IF($A37="","",WEEKNUM($A37,21))</f>
        <v/>
      </c>
      <c r="C37" s="42">
        <f>IF($A37="","",CHOOSE(WEEKDAY($A37),"일","월","화","수","목","금","토"))</f>
        <v/>
      </c>
      <c r="D37" s="42" t="inlineStr">
        <is>
          <t>7호기</t>
        </is>
      </c>
      <c r="E37" s="43" t="n"/>
      <c r="F37" s="43" t="n"/>
      <c r="G37" s="44">
        <f>IF(OR($D37="",$E37=""),"",INDEX('1.기준정보'!$C$22:$H$28,MATCH($D37,'1.기준정보'!$A$22:$A$28,0),MATCH($E37,'1.기준정보'!$C$21:$H$21,0)))</f>
        <v/>
      </c>
      <c r="H37" s="43" t="n"/>
      <c r="I37" s="43" t="n"/>
      <c r="J37" s="45">
        <f>IF(OR($G37="",$G37=0,$I37=""),"",$I37/$G37)</f>
        <v/>
      </c>
      <c r="K37" s="43" t="n"/>
      <c r="L37" s="43" t="n"/>
      <c r="M37" s="43" t="n"/>
      <c r="N37" s="43" t="n"/>
      <c r="O37" s="42">
        <f>IF($N37="","",IFERROR(INDEX('1.기준정보'!$B$44:$B$55,MATCH($N37,'1.기준정보'!$A$44:$A$55,0)),"미정"))</f>
        <v/>
      </c>
      <c r="P37" s="46">
        <f>IF(OR($M37="",$K37=""),"",$M37*$K37)</f>
        <v/>
      </c>
      <c r="Q37" s="44">
        <f>IF($P37="","",$P37*'1.기준정보'!$B$5)</f>
        <v/>
      </c>
      <c r="R37" s="47" t="n"/>
    </row>
    <row r="38">
      <c r="A38" s="40" t="n">
        <v>46255</v>
      </c>
      <c r="B38" s="41">
        <f>IF($A38="","",WEEKNUM($A38,21))</f>
        <v/>
      </c>
      <c r="C38" s="42">
        <f>IF($A38="","",CHOOSE(WEEKDAY($A38),"일","월","화","수","목","금","토"))</f>
        <v/>
      </c>
      <c r="D38" s="42" t="inlineStr">
        <is>
          <t>8호기</t>
        </is>
      </c>
      <c r="E38" s="43" t="n"/>
      <c r="F38" s="43" t="n"/>
      <c r="G38" s="44">
        <f>IF(OR($D38="",$E38=""),"",INDEX('1.기준정보'!$C$22:$H$28,MATCH($D38,'1.기준정보'!$A$22:$A$28,0),MATCH($E38,'1.기준정보'!$C$21:$H$21,0)))</f>
        <v/>
      </c>
      <c r="H38" s="43" t="n"/>
      <c r="I38" s="43" t="n"/>
      <c r="J38" s="45">
        <f>IF(OR($G38="",$G38=0,$I38=""),"",$I38/$G38)</f>
        <v/>
      </c>
      <c r="K38" s="43" t="n"/>
      <c r="L38" s="43" t="n"/>
      <c r="M38" s="43" t="n"/>
      <c r="N38" s="43" t="n"/>
      <c r="O38" s="42">
        <f>IF($N38="","",IFERROR(INDEX('1.기준정보'!$B$44:$B$55,MATCH($N38,'1.기준정보'!$A$44:$A$55,0)),"미정"))</f>
        <v/>
      </c>
      <c r="P38" s="46">
        <f>IF(OR($M38="",$K38=""),"",$M38*$K38)</f>
        <v/>
      </c>
      <c r="Q38" s="44">
        <f>IF($P38="","",$P38*'1.기준정보'!$B$5)</f>
        <v/>
      </c>
      <c r="R38" s="47" t="n"/>
    </row>
    <row r="39">
      <c r="A39" s="40" t="n">
        <v>46256</v>
      </c>
      <c r="B39" s="41">
        <f>IF($A39="","",WEEKNUM($A39,21))</f>
        <v/>
      </c>
      <c r="C39" s="42">
        <f>IF($A39="","",CHOOSE(WEEKDAY($A39),"일","월","화","수","목","금","토"))</f>
        <v/>
      </c>
      <c r="D39" s="42" t="inlineStr">
        <is>
          <t>2호기</t>
        </is>
      </c>
      <c r="E39" s="43" t="n"/>
      <c r="F39" s="43" t="n"/>
      <c r="G39" s="44">
        <f>IF(OR($D39="",$E39=""),"",INDEX('1.기준정보'!$C$22:$H$28,MATCH($D39,'1.기준정보'!$A$22:$A$28,0),MATCH($E39,'1.기준정보'!$C$21:$H$21,0)))</f>
        <v/>
      </c>
      <c r="H39" s="43" t="n"/>
      <c r="I39" s="43" t="n"/>
      <c r="J39" s="45">
        <f>IF(OR($G39="",$G39=0,$I39=""),"",$I39/$G39)</f>
        <v/>
      </c>
      <c r="K39" s="43" t="n"/>
      <c r="L39" s="43" t="n"/>
      <c r="M39" s="43" t="n"/>
      <c r="N39" s="43" t="n"/>
      <c r="O39" s="42">
        <f>IF($N39="","",IFERROR(INDEX('1.기준정보'!$B$44:$B$55,MATCH($N39,'1.기준정보'!$A$44:$A$55,0)),"미정"))</f>
        <v/>
      </c>
      <c r="P39" s="46">
        <f>IF(OR($M39="",$K39=""),"",$M39*$K39)</f>
        <v/>
      </c>
      <c r="Q39" s="44">
        <f>IF($P39="","",$P39*'1.기준정보'!$B$5)</f>
        <v/>
      </c>
      <c r="R39" s="47" t="n"/>
    </row>
    <row r="40">
      <c r="A40" s="40" t="n">
        <v>46256</v>
      </c>
      <c r="B40" s="41">
        <f>IF($A40="","",WEEKNUM($A40,21))</f>
        <v/>
      </c>
      <c r="C40" s="42">
        <f>IF($A40="","",CHOOSE(WEEKDAY($A40),"일","월","화","수","목","금","토"))</f>
        <v/>
      </c>
      <c r="D40" s="42" t="inlineStr">
        <is>
          <t>3호기</t>
        </is>
      </c>
      <c r="E40" s="43" t="n"/>
      <c r="F40" s="43" t="n"/>
      <c r="G40" s="44">
        <f>IF(OR($D40="",$E40=""),"",INDEX('1.기준정보'!$C$22:$H$28,MATCH($D40,'1.기준정보'!$A$22:$A$28,0),MATCH($E40,'1.기준정보'!$C$21:$H$21,0)))</f>
        <v/>
      </c>
      <c r="H40" s="43" t="n"/>
      <c r="I40" s="43" t="n"/>
      <c r="J40" s="45">
        <f>IF(OR($G40="",$G40=0,$I40=""),"",$I40/$G40)</f>
        <v/>
      </c>
      <c r="K40" s="43" t="n"/>
      <c r="L40" s="43" t="n"/>
      <c r="M40" s="43" t="n"/>
      <c r="N40" s="43" t="n"/>
      <c r="O40" s="42">
        <f>IF($N40="","",IFERROR(INDEX('1.기준정보'!$B$44:$B$55,MATCH($N40,'1.기준정보'!$A$44:$A$55,0)),"미정"))</f>
        <v/>
      </c>
      <c r="P40" s="46">
        <f>IF(OR($M40="",$K40=""),"",$M40*$K40)</f>
        <v/>
      </c>
      <c r="Q40" s="44">
        <f>IF($P40="","",$P40*'1.기준정보'!$B$5)</f>
        <v/>
      </c>
      <c r="R40" s="47" t="n"/>
    </row>
    <row r="41">
      <c r="A41" s="40" t="n">
        <v>46256</v>
      </c>
      <c r="B41" s="41">
        <f>IF($A41="","",WEEKNUM($A41,21))</f>
        <v/>
      </c>
      <c r="C41" s="42">
        <f>IF($A41="","",CHOOSE(WEEKDAY($A41),"일","월","화","수","목","금","토"))</f>
        <v/>
      </c>
      <c r="D41" s="42" t="inlineStr">
        <is>
          <t>4호기</t>
        </is>
      </c>
      <c r="E41" s="43" t="n"/>
      <c r="F41" s="43" t="n"/>
      <c r="G41" s="44">
        <f>IF(OR($D41="",$E41=""),"",INDEX('1.기준정보'!$C$22:$H$28,MATCH($D41,'1.기준정보'!$A$22:$A$28,0),MATCH($E41,'1.기준정보'!$C$21:$H$21,0)))</f>
        <v/>
      </c>
      <c r="H41" s="43" t="n"/>
      <c r="I41" s="43" t="n"/>
      <c r="J41" s="45">
        <f>IF(OR($G41="",$G41=0,$I41=""),"",$I41/$G41)</f>
        <v/>
      </c>
      <c r="K41" s="43" t="n"/>
      <c r="L41" s="43" t="n"/>
      <c r="M41" s="43" t="n"/>
      <c r="N41" s="43" t="n"/>
      <c r="O41" s="42">
        <f>IF($N41="","",IFERROR(INDEX('1.기준정보'!$B$44:$B$55,MATCH($N41,'1.기준정보'!$A$44:$A$55,0)),"미정"))</f>
        <v/>
      </c>
      <c r="P41" s="46">
        <f>IF(OR($M41="",$K41=""),"",$M41*$K41)</f>
        <v/>
      </c>
      <c r="Q41" s="44">
        <f>IF($P41="","",$P41*'1.기준정보'!$B$5)</f>
        <v/>
      </c>
      <c r="R41" s="47" t="n"/>
    </row>
    <row r="42">
      <c r="A42" s="40" t="n">
        <v>46256</v>
      </c>
      <c r="B42" s="41">
        <f>IF($A42="","",WEEKNUM($A42,21))</f>
        <v/>
      </c>
      <c r="C42" s="42">
        <f>IF($A42="","",CHOOSE(WEEKDAY($A42),"일","월","화","수","목","금","토"))</f>
        <v/>
      </c>
      <c r="D42" s="42" t="inlineStr">
        <is>
          <t>5호기</t>
        </is>
      </c>
      <c r="E42" s="43" t="n"/>
      <c r="F42" s="43" t="n"/>
      <c r="G42" s="44">
        <f>IF(OR($D42="",$E42=""),"",INDEX('1.기준정보'!$C$22:$H$28,MATCH($D42,'1.기준정보'!$A$22:$A$28,0),MATCH($E42,'1.기준정보'!$C$21:$H$21,0)))</f>
        <v/>
      </c>
      <c r="H42" s="43" t="n"/>
      <c r="I42" s="43" t="n"/>
      <c r="J42" s="45">
        <f>IF(OR($G42="",$G42=0,$I42=""),"",$I42/$G42)</f>
        <v/>
      </c>
      <c r="K42" s="43" t="n"/>
      <c r="L42" s="43" t="n"/>
      <c r="M42" s="43" t="n"/>
      <c r="N42" s="43" t="n"/>
      <c r="O42" s="42">
        <f>IF($N42="","",IFERROR(INDEX('1.기준정보'!$B$44:$B$55,MATCH($N42,'1.기준정보'!$A$44:$A$55,0)),"미정"))</f>
        <v/>
      </c>
      <c r="P42" s="46">
        <f>IF(OR($M42="",$K42=""),"",$M42*$K42)</f>
        <v/>
      </c>
      <c r="Q42" s="44">
        <f>IF($P42="","",$P42*'1.기준정보'!$B$5)</f>
        <v/>
      </c>
      <c r="R42" s="47" t="n"/>
    </row>
    <row r="43">
      <c r="A43" s="40" t="n">
        <v>46256</v>
      </c>
      <c r="B43" s="41">
        <f>IF($A43="","",WEEKNUM($A43,21))</f>
        <v/>
      </c>
      <c r="C43" s="42">
        <f>IF($A43="","",CHOOSE(WEEKDAY($A43),"일","월","화","수","목","금","토"))</f>
        <v/>
      </c>
      <c r="D43" s="42" t="inlineStr">
        <is>
          <t>6호기</t>
        </is>
      </c>
      <c r="E43" s="43" t="n"/>
      <c r="F43" s="43" t="n"/>
      <c r="G43" s="44">
        <f>IF(OR($D43="",$E43=""),"",INDEX('1.기준정보'!$C$22:$H$28,MATCH($D43,'1.기준정보'!$A$22:$A$28,0),MATCH($E43,'1.기준정보'!$C$21:$H$21,0)))</f>
        <v/>
      </c>
      <c r="H43" s="43" t="n"/>
      <c r="I43" s="43" t="n"/>
      <c r="J43" s="45">
        <f>IF(OR($G43="",$G43=0,$I43=""),"",$I43/$G43)</f>
        <v/>
      </c>
      <c r="K43" s="43" t="n"/>
      <c r="L43" s="43" t="n"/>
      <c r="M43" s="43" t="n"/>
      <c r="N43" s="43" t="n"/>
      <c r="O43" s="42">
        <f>IF($N43="","",IFERROR(INDEX('1.기준정보'!$B$44:$B$55,MATCH($N43,'1.기준정보'!$A$44:$A$55,0)),"미정"))</f>
        <v/>
      </c>
      <c r="P43" s="46">
        <f>IF(OR($M43="",$K43=""),"",$M43*$K43)</f>
        <v/>
      </c>
      <c r="Q43" s="44">
        <f>IF($P43="","",$P43*'1.기준정보'!$B$5)</f>
        <v/>
      </c>
      <c r="R43" s="47" t="n"/>
    </row>
    <row r="44">
      <c r="A44" s="40" t="n">
        <v>46256</v>
      </c>
      <c r="B44" s="41">
        <f>IF($A44="","",WEEKNUM($A44,21))</f>
        <v/>
      </c>
      <c r="C44" s="42">
        <f>IF($A44="","",CHOOSE(WEEKDAY($A44),"일","월","화","수","목","금","토"))</f>
        <v/>
      </c>
      <c r="D44" s="42" t="inlineStr">
        <is>
          <t>7호기</t>
        </is>
      </c>
      <c r="E44" s="43" t="n"/>
      <c r="F44" s="43" t="n"/>
      <c r="G44" s="44">
        <f>IF(OR($D44="",$E44=""),"",INDEX('1.기준정보'!$C$22:$H$28,MATCH($D44,'1.기준정보'!$A$22:$A$28,0),MATCH($E44,'1.기준정보'!$C$21:$H$21,0)))</f>
        <v/>
      </c>
      <c r="H44" s="43" t="n"/>
      <c r="I44" s="43" t="n"/>
      <c r="J44" s="45">
        <f>IF(OR($G44="",$G44=0,$I44=""),"",$I44/$G44)</f>
        <v/>
      </c>
      <c r="K44" s="43" t="n"/>
      <c r="L44" s="43" t="n"/>
      <c r="M44" s="43" t="n"/>
      <c r="N44" s="43" t="n"/>
      <c r="O44" s="42">
        <f>IF($N44="","",IFERROR(INDEX('1.기준정보'!$B$44:$B$55,MATCH($N44,'1.기준정보'!$A$44:$A$55,0)),"미정"))</f>
        <v/>
      </c>
      <c r="P44" s="46">
        <f>IF(OR($M44="",$K44=""),"",$M44*$K44)</f>
        <v/>
      </c>
      <c r="Q44" s="44">
        <f>IF($P44="","",$P44*'1.기준정보'!$B$5)</f>
        <v/>
      </c>
      <c r="R44" s="47" t="n"/>
    </row>
    <row r="45">
      <c r="A45" s="40" t="n">
        <v>46256</v>
      </c>
      <c r="B45" s="41">
        <f>IF($A45="","",WEEKNUM($A45,21))</f>
        <v/>
      </c>
      <c r="C45" s="42">
        <f>IF($A45="","",CHOOSE(WEEKDAY($A45),"일","월","화","수","목","금","토"))</f>
        <v/>
      </c>
      <c r="D45" s="42" t="inlineStr">
        <is>
          <t>8호기</t>
        </is>
      </c>
      <c r="E45" s="43" t="n"/>
      <c r="F45" s="43" t="n"/>
      <c r="G45" s="44">
        <f>IF(OR($D45="",$E45=""),"",INDEX('1.기준정보'!$C$22:$H$28,MATCH($D45,'1.기준정보'!$A$22:$A$28,0),MATCH($E45,'1.기준정보'!$C$21:$H$21,0)))</f>
        <v/>
      </c>
      <c r="H45" s="43" t="n"/>
      <c r="I45" s="43" t="n"/>
      <c r="J45" s="45">
        <f>IF(OR($G45="",$G45=0,$I45=""),"",$I45/$G45)</f>
        <v/>
      </c>
      <c r="K45" s="43" t="n"/>
      <c r="L45" s="43" t="n"/>
      <c r="M45" s="43" t="n"/>
      <c r="N45" s="43" t="n"/>
      <c r="O45" s="42">
        <f>IF($N45="","",IFERROR(INDEX('1.기준정보'!$B$44:$B$55,MATCH($N45,'1.기준정보'!$A$44:$A$55,0)),"미정"))</f>
        <v/>
      </c>
      <c r="P45" s="46">
        <f>IF(OR($M45="",$K45=""),"",$M45*$K45)</f>
        <v/>
      </c>
      <c r="Q45" s="44">
        <f>IF($P45="","",$P45*'1.기준정보'!$B$5)</f>
        <v/>
      </c>
      <c r="R45" s="47" t="n"/>
    </row>
    <row r="46">
      <c r="A46" s="40" t="n">
        <v>46258</v>
      </c>
      <c r="B46" s="41">
        <f>IF($A46="","",WEEKNUM($A46,21))</f>
        <v/>
      </c>
      <c r="C46" s="42">
        <f>IF($A46="","",CHOOSE(WEEKDAY($A46),"일","월","화","수","목","금","토"))</f>
        <v/>
      </c>
      <c r="D46" s="42" t="inlineStr">
        <is>
          <t>2호기</t>
        </is>
      </c>
      <c r="E46" s="43" t="n"/>
      <c r="F46" s="43" t="n"/>
      <c r="G46" s="44">
        <f>IF(OR($D46="",$E46=""),"",INDEX('1.기준정보'!$C$22:$H$28,MATCH($D46,'1.기준정보'!$A$22:$A$28,0),MATCH($E46,'1.기준정보'!$C$21:$H$21,0)))</f>
        <v/>
      </c>
      <c r="H46" s="43" t="n"/>
      <c r="I46" s="43" t="n"/>
      <c r="J46" s="45">
        <f>IF(OR($G46="",$G46=0,$I46=""),"",$I46/$G46)</f>
        <v/>
      </c>
      <c r="K46" s="43" t="n"/>
      <c r="L46" s="43" t="n"/>
      <c r="M46" s="43" t="n"/>
      <c r="N46" s="43" t="n"/>
      <c r="O46" s="42">
        <f>IF($N46="","",IFERROR(INDEX('1.기준정보'!$B$44:$B$55,MATCH($N46,'1.기준정보'!$A$44:$A$55,0)),"미정"))</f>
        <v/>
      </c>
      <c r="P46" s="46">
        <f>IF(OR($M46="",$K46=""),"",$M46*$K46)</f>
        <v/>
      </c>
      <c r="Q46" s="44">
        <f>IF($P46="","",$P46*'1.기준정보'!$B$5)</f>
        <v/>
      </c>
      <c r="R46" s="47" t="n"/>
    </row>
    <row r="47">
      <c r="A47" s="40" t="n">
        <v>46258</v>
      </c>
      <c r="B47" s="41">
        <f>IF($A47="","",WEEKNUM($A47,21))</f>
        <v/>
      </c>
      <c r="C47" s="42">
        <f>IF($A47="","",CHOOSE(WEEKDAY($A47),"일","월","화","수","목","금","토"))</f>
        <v/>
      </c>
      <c r="D47" s="42" t="inlineStr">
        <is>
          <t>3호기</t>
        </is>
      </c>
      <c r="E47" s="43" t="n"/>
      <c r="F47" s="43" t="n"/>
      <c r="G47" s="44">
        <f>IF(OR($D47="",$E47=""),"",INDEX('1.기준정보'!$C$22:$H$28,MATCH($D47,'1.기준정보'!$A$22:$A$28,0),MATCH($E47,'1.기준정보'!$C$21:$H$21,0)))</f>
        <v/>
      </c>
      <c r="H47" s="43" t="n"/>
      <c r="I47" s="43" t="n"/>
      <c r="J47" s="45">
        <f>IF(OR($G47="",$G47=0,$I47=""),"",$I47/$G47)</f>
        <v/>
      </c>
      <c r="K47" s="43" t="n"/>
      <c r="L47" s="43" t="n"/>
      <c r="M47" s="43" t="n"/>
      <c r="N47" s="43" t="n"/>
      <c r="O47" s="42">
        <f>IF($N47="","",IFERROR(INDEX('1.기준정보'!$B$44:$B$55,MATCH($N47,'1.기준정보'!$A$44:$A$55,0)),"미정"))</f>
        <v/>
      </c>
      <c r="P47" s="46">
        <f>IF(OR($M47="",$K47=""),"",$M47*$K47)</f>
        <v/>
      </c>
      <c r="Q47" s="44">
        <f>IF($P47="","",$P47*'1.기준정보'!$B$5)</f>
        <v/>
      </c>
      <c r="R47" s="47" t="n"/>
    </row>
    <row r="48">
      <c r="A48" s="40" t="n">
        <v>46258</v>
      </c>
      <c r="B48" s="41">
        <f>IF($A48="","",WEEKNUM($A48,21))</f>
        <v/>
      </c>
      <c r="C48" s="42">
        <f>IF($A48="","",CHOOSE(WEEKDAY($A48),"일","월","화","수","목","금","토"))</f>
        <v/>
      </c>
      <c r="D48" s="42" t="inlineStr">
        <is>
          <t>4호기</t>
        </is>
      </c>
      <c r="E48" s="43" t="n"/>
      <c r="F48" s="43" t="n"/>
      <c r="G48" s="44">
        <f>IF(OR($D48="",$E48=""),"",INDEX('1.기준정보'!$C$22:$H$28,MATCH($D48,'1.기준정보'!$A$22:$A$28,0),MATCH($E48,'1.기준정보'!$C$21:$H$21,0)))</f>
        <v/>
      </c>
      <c r="H48" s="43" t="n"/>
      <c r="I48" s="43" t="n"/>
      <c r="J48" s="45">
        <f>IF(OR($G48="",$G48=0,$I48=""),"",$I48/$G48)</f>
        <v/>
      </c>
      <c r="K48" s="43" t="n"/>
      <c r="L48" s="43" t="n"/>
      <c r="M48" s="43" t="n"/>
      <c r="N48" s="43" t="n"/>
      <c r="O48" s="42">
        <f>IF($N48="","",IFERROR(INDEX('1.기준정보'!$B$44:$B$55,MATCH($N48,'1.기준정보'!$A$44:$A$55,0)),"미정"))</f>
        <v/>
      </c>
      <c r="P48" s="46">
        <f>IF(OR($M48="",$K48=""),"",$M48*$K48)</f>
        <v/>
      </c>
      <c r="Q48" s="44">
        <f>IF($P48="","",$P48*'1.기준정보'!$B$5)</f>
        <v/>
      </c>
      <c r="R48" s="47" t="n"/>
    </row>
    <row r="49">
      <c r="A49" s="40" t="n">
        <v>46258</v>
      </c>
      <c r="B49" s="41">
        <f>IF($A49="","",WEEKNUM($A49,21))</f>
        <v/>
      </c>
      <c r="C49" s="42">
        <f>IF($A49="","",CHOOSE(WEEKDAY($A49),"일","월","화","수","목","금","토"))</f>
        <v/>
      </c>
      <c r="D49" s="42" t="inlineStr">
        <is>
          <t>5호기</t>
        </is>
      </c>
      <c r="E49" s="43" t="n"/>
      <c r="F49" s="43" t="n"/>
      <c r="G49" s="44">
        <f>IF(OR($D49="",$E49=""),"",INDEX('1.기준정보'!$C$22:$H$28,MATCH($D49,'1.기준정보'!$A$22:$A$28,0),MATCH($E49,'1.기준정보'!$C$21:$H$21,0)))</f>
        <v/>
      </c>
      <c r="H49" s="43" t="n"/>
      <c r="I49" s="43" t="n"/>
      <c r="J49" s="45">
        <f>IF(OR($G49="",$G49=0,$I49=""),"",$I49/$G49)</f>
        <v/>
      </c>
      <c r="K49" s="43" t="n"/>
      <c r="L49" s="43" t="n"/>
      <c r="M49" s="43" t="n"/>
      <c r="N49" s="43" t="n"/>
      <c r="O49" s="42">
        <f>IF($N49="","",IFERROR(INDEX('1.기준정보'!$B$44:$B$55,MATCH($N49,'1.기준정보'!$A$44:$A$55,0)),"미정"))</f>
        <v/>
      </c>
      <c r="P49" s="46">
        <f>IF(OR($M49="",$K49=""),"",$M49*$K49)</f>
        <v/>
      </c>
      <c r="Q49" s="44">
        <f>IF($P49="","",$P49*'1.기준정보'!$B$5)</f>
        <v/>
      </c>
      <c r="R49" s="47" t="n"/>
    </row>
    <row r="50">
      <c r="A50" s="40" t="n">
        <v>46258</v>
      </c>
      <c r="B50" s="41">
        <f>IF($A50="","",WEEKNUM($A50,21))</f>
        <v/>
      </c>
      <c r="C50" s="42">
        <f>IF($A50="","",CHOOSE(WEEKDAY($A50),"일","월","화","수","목","금","토"))</f>
        <v/>
      </c>
      <c r="D50" s="42" t="inlineStr">
        <is>
          <t>6호기</t>
        </is>
      </c>
      <c r="E50" s="43" t="n"/>
      <c r="F50" s="43" t="n"/>
      <c r="G50" s="44">
        <f>IF(OR($D50="",$E50=""),"",INDEX('1.기준정보'!$C$22:$H$28,MATCH($D50,'1.기준정보'!$A$22:$A$28,0),MATCH($E50,'1.기준정보'!$C$21:$H$21,0)))</f>
        <v/>
      </c>
      <c r="H50" s="43" t="n"/>
      <c r="I50" s="43" t="n"/>
      <c r="J50" s="45">
        <f>IF(OR($G50="",$G50=0,$I50=""),"",$I50/$G50)</f>
        <v/>
      </c>
      <c r="K50" s="43" t="n"/>
      <c r="L50" s="43" t="n"/>
      <c r="M50" s="43" t="n"/>
      <c r="N50" s="43" t="n"/>
      <c r="O50" s="42">
        <f>IF($N50="","",IFERROR(INDEX('1.기준정보'!$B$44:$B$55,MATCH($N50,'1.기준정보'!$A$44:$A$55,0)),"미정"))</f>
        <v/>
      </c>
      <c r="P50" s="46">
        <f>IF(OR($M50="",$K50=""),"",$M50*$K50)</f>
        <v/>
      </c>
      <c r="Q50" s="44">
        <f>IF($P50="","",$P50*'1.기준정보'!$B$5)</f>
        <v/>
      </c>
      <c r="R50" s="47" t="n"/>
    </row>
    <row r="51">
      <c r="A51" s="40" t="n">
        <v>46258</v>
      </c>
      <c r="B51" s="41">
        <f>IF($A51="","",WEEKNUM($A51,21))</f>
        <v/>
      </c>
      <c r="C51" s="42">
        <f>IF($A51="","",CHOOSE(WEEKDAY($A51),"일","월","화","수","목","금","토"))</f>
        <v/>
      </c>
      <c r="D51" s="42" t="inlineStr">
        <is>
          <t>7호기</t>
        </is>
      </c>
      <c r="E51" s="43" t="n"/>
      <c r="F51" s="43" t="n"/>
      <c r="G51" s="44">
        <f>IF(OR($D51="",$E51=""),"",INDEX('1.기준정보'!$C$22:$H$28,MATCH($D51,'1.기준정보'!$A$22:$A$28,0),MATCH($E51,'1.기준정보'!$C$21:$H$21,0)))</f>
        <v/>
      </c>
      <c r="H51" s="43" t="n"/>
      <c r="I51" s="43" t="n"/>
      <c r="J51" s="45">
        <f>IF(OR($G51="",$G51=0,$I51=""),"",$I51/$G51)</f>
        <v/>
      </c>
      <c r="K51" s="43" t="n"/>
      <c r="L51" s="43" t="n"/>
      <c r="M51" s="43" t="n"/>
      <c r="N51" s="43" t="n"/>
      <c r="O51" s="42">
        <f>IF($N51="","",IFERROR(INDEX('1.기준정보'!$B$44:$B$55,MATCH($N51,'1.기준정보'!$A$44:$A$55,0)),"미정"))</f>
        <v/>
      </c>
      <c r="P51" s="46">
        <f>IF(OR($M51="",$K51=""),"",$M51*$K51)</f>
        <v/>
      </c>
      <c r="Q51" s="44">
        <f>IF($P51="","",$P51*'1.기준정보'!$B$5)</f>
        <v/>
      </c>
      <c r="R51" s="47" t="n"/>
    </row>
    <row r="52">
      <c r="A52" s="40" t="n">
        <v>46258</v>
      </c>
      <c r="B52" s="41">
        <f>IF($A52="","",WEEKNUM($A52,21))</f>
        <v/>
      </c>
      <c r="C52" s="42">
        <f>IF($A52="","",CHOOSE(WEEKDAY($A52),"일","월","화","수","목","금","토"))</f>
        <v/>
      </c>
      <c r="D52" s="42" t="inlineStr">
        <is>
          <t>8호기</t>
        </is>
      </c>
      <c r="E52" s="43" t="n"/>
      <c r="F52" s="43" t="n"/>
      <c r="G52" s="44">
        <f>IF(OR($D52="",$E52=""),"",INDEX('1.기준정보'!$C$22:$H$28,MATCH($D52,'1.기준정보'!$A$22:$A$28,0),MATCH($E52,'1.기준정보'!$C$21:$H$21,0)))</f>
        <v/>
      </c>
      <c r="H52" s="43" t="n"/>
      <c r="I52" s="43" t="n"/>
      <c r="J52" s="45">
        <f>IF(OR($G52="",$G52=0,$I52=""),"",$I52/$G52)</f>
        <v/>
      </c>
      <c r="K52" s="43" t="n"/>
      <c r="L52" s="43" t="n"/>
      <c r="M52" s="43" t="n"/>
      <c r="N52" s="43" t="n"/>
      <c r="O52" s="42">
        <f>IF($N52="","",IFERROR(INDEX('1.기준정보'!$B$44:$B$55,MATCH($N52,'1.기준정보'!$A$44:$A$55,0)),"미정"))</f>
        <v/>
      </c>
      <c r="P52" s="46">
        <f>IF(OR($M52="",$K52=""),"",$M52*$K52)</f>
        <v/>
      </c>
      <c r="Q52" s="44">
        <f>IF($P52="","",$P52*'1.기준정보'!$B$5)</f>
        <v/>
      </c>
      <c r="R52" s="47" t="n"/>
    </row>
    <row r="53">
      <c r="A53" s="40" t="n">
        <v>46259</v>
      </c>
      <c r="B53" s="41">
        <f>IF($A53="","",WEEKNUM($A53,21))</f>
        <v/>
      </c>
      <c r="C53" s="42">
        <f>IF($A53="","",CHOOSE(WEEKDAY($A53),"일","월","화","수","목","금","토"))</f>
        <v/>
      </c>
      <c r="D53" s="42" t="inlineStr">
        <is>
          <t>2호기</t>
        </is>
      </c>
      <c r="E53" s="43" t="n"/>
      <c r="F53" s="43" t="n"/>
      <c r="G53" s="44">
        <f>IF(OR($D53="",$E53=""),"",INDEX('1.기준정보'!$C$22:$H$28,MATCH($D53,'1.기준정보'!$A$22:$A$28,0),MATCH($E53,'1.기준정보'!$C$21:$H$21,0)))</f>
        <v/>
      </c>
      <c r="H53" s="43" t="n"/>
      <c r="I53" s="43" t="n"/>
      <c r="J53" s="45">
        <f>IF(OR($G53="",$G53=0,$I53=""),"",$I53/$G53)</f>
        <v/>
      </c>
      <c r="K53" s="43" t="n"/>
      <c r="L53" s="43" t="n"/>
      <c r="M53" s="43" t="n"/>
      <c r="N53" s="43" t="n"/>
      <c r="O53" s="42">
        <f>IF($N53="","",IFERROR(INDEX('1.기준정보'!$B$44:$B$55,MATCH($N53,'1.기준정보'!$A$44:$A$55,0)),"미정"))</f>
        <v/>
      </c>
      <c r="P53" s="46">
        <f>IF(OR($M53="",$K53=""),"",$M53*$K53)</f>
        <v/>
      </c>
      <c r="Q53" s="44">
        <f>IF($P53="","",$P53*'1.기준정보'!$B$5)</f>
        <v/>
      </c>
      <c r="R53" s="47" t="n"/>
    </row>
    <row r="54">
      <c r="A54" s="40" t="n">
        <v>46259</v>
      </c>
      <c r="B54" s="41">
        <f>IF($A54="","",WEEKNUM($A54,21))</f>
        <v/>
      </c>
      <c r="C54" s="42">
        <f>IF($A54="","",CHOOSE(WEEKDAY($A54),"일","월","화","수","목","금","토"))</f>
        <v/>
      </c>
      <c r="D54" s="42" t="inlineStr">
        <is>
          <t>3호기</t>
        </is>
      </c>
      <c r="E54" s="43" t="n"/>
      <c r="F54" s="43" t="n"/>
      <c r="G54" s="44">
        <f>IF(OR($D54="",$E54=""),"",INDEX('1.기준정보'!$C$22:$H$28,MATCH($D54,'1.기준정보'!$A$22:$A$28,0),MATCH($E54,'1.기준정보'!$C$21:$H$21,0)))</f>
        <v/>
      </c>
      <c r="H54" s="43" t="n"/>
      <c r="I54" s="43" t="n"/>
      <c r="J54" s="45">
        <f>IF(OR($G54="",$G54=0,$I54=""),"",$I54/$G54)</f>
        <v/>
      </c>
      <c r="K54" s="43" t="n"/>
      <c r="L54" s="43" t="n"/>
      <c r="M54" s="43" t="n"/>
      <c r="N54" s="43" t="n"/>
      <c r="O54" s="42">
        <f>IF($N54="","",IFERROR(INDEX('1.기준정보'!$B$44:$B$55,MATCH($N54,'1.기준정보'!$A$44:$A$55,0)),"미정"))</f>
        <v/>
      </c>
      <c r="P54" s="46">
        <f>IF(OR($M54="",$K54=""),"",$M54*$K54)</f>
        <v/>
      </c>
      <c r="Q54" s="44">
        <f>IF($P54="","",$P54*'1.기준정보'!$B$5)</f>
        <v/>
      </c>
      <c r="R54" s="47" t="n"/>
    </row>
    <row r="55">
      <c r="A55" s="40" t="n">
        <v>46259</v>
      </c>
      <c r="B55" s="41">
        <f>IF($A55="","",WEEKNUM($A55,21))</f>
        <v/>
      </c>
      <c r="C55" s="42">
        <f>IF($A55="","",CHOOSE(WEEKDAY($A55),"일","월","화","수","목","금","토"))</f>
        <v/>
      </c>
      <c r="D55" s="42" t="inlineStr">
        <is>
          <t>4호기</t>
        </is>
      </c>
      <c r="E55" s="43" t="n"/>
      <c r="F55" s="43" t="n"/>
      <c r="G55" s="44">
        <f>IF(OR($D55="",$E55=""),"",INDEX('1.기준정보'!$C$22:$H$28,MATCH($D55,'1.기준정보'!$A$22:$A$28,0),MATCH($E55,'1.기준정보'!$C$21:$H$21,0)))</f>
        <v/>
      </c>
      <c r="H55" s="43" t="n"/>
      <c r="I55" s="43" t="n"/>
      <c r="J55" s="45">
        <f>IF(OR($G55="",$G55=0,$I55=""),"",$I55/$G55)</f>
        <v/>
      </c>
      <c r="K55" s="43" t="n"/>
      <c r="L55" s="43" t="n"/>
      <c r="M55" s="43" t="n"/>
      <c r="N55" s="43" t="n"/>
      <c r="O55" s="42">
        <f>IF($N55="","",IFERROR(INDEX('1.기준정보'!$B$44:$B$55,MATCH($N55,'1.기준정보'!$A$44:$A$55,0)),"미정"))</f>
        <v/>
      </c>
      <c r="P55" s="46">
        <f>IF(OR($M55="",$K55=""),"",$M55*$K55)</f>
        <v/>
      </c>
      <c r="Q55" s="44">
        <f>IF($P55="","",$P55*'1.기준정보'!$B$5)</f>
        <v/>
      </c>
      <c r="R55" s="47" t="n"/>
    </row>
    <row r="56">
      <c r="A56" s="40" t="n">
        <v>46259</v>
      </c>
      <c r="B56" s="41">
        <f>IF($A56="","",WEEKNUM($A56,21))</f>
        <v/>
      </c>
      <c r="C56" s="42">
        <f>IF($A56="","",CHOOSE(WEEKDAY($A56),"일","월","화","수","목","금","토"))</f>
        <v/>
      </c>
      <c r="D56" s="42" t="inlineStr">
        <is>
          <t>5호기</t>
        </is>
      </c>
      <c r="E56" s="43" t="n"/>
      <c r="F56" s="43" t="n"/>
      <c r="G56" s="44">
        <f>IF(OR($D56="",$E56=""),"",INDEX('1.기준정보'!$C$22:$H$28,MATCH($D56,'1.기준정보'!$A$22:$A$28,0),MATCH($E56,'1.기준정보'!$C$21:$H$21,0)))</f>
        <v/>
      </c>
      <c r="H56" s="43" t="n"/>
      <c r="I56" s="43" t="n"/>
      <c r="J56" s="45">
        <f>IF(OR($G56="",$G56=0,$I56=""),"",$I56/$G56)</f>
        <v/>
      </c>
      <c r="K56" s="43" t="n"/>
      <c r="L56" s="43" t="n"/>
      <c r="M56" s="43" t="n"/>
      <c r="N56" s="43" t="n"/>
      <c r="O56" s="42">
        <f>IF($N56="","",IFERROR(INDEX('1.기준정보'!$B$44:$B$55,MATCH($N56,'1.기준정보'!$A$44:$A$55,0)),"미정"))</f>
        <v/>
      </c>
      <c r="P56" s="46">
        <f>IF(OR($M56="",$K56=""),"",$M56*$K56)</f>
        <v/>
      </c>
      <c r="Q56" s="44">
        <f>IF($P56="","",$P56*'1.기준정보'!$B$5)</f>
        <v/>
      </c>
      <c r="R56" s="47" t="n"/>
    </row>
    <row r="57">
      <c r="A57" s="40" t="n">
        <v>46259</v>
      </c>
      <c r="B57" s="41">
        <f>IF($A57="","",WEEKNUM($A57,21))</f>
        <v/>
      </c>
      <c r="C57" s="42">
        <f>IF($A57="","",CHOOSE(WEEKDAY($A57),"일","월","화","수","목","금","토"))</f>
        <v/>
      </c>
      <c r="D57" s="42" t="inlineStr">
        <is>
          <t>6호기</t>
        </is>
      </c>
      <c r="E57" s="43" t="n"/>
      <c r="F57" s="43" t="n"/>
      <c r="G57" s="44">
        <f>IF(OR($D57="",$E57=""),"",INDEX('1.기준정보'!$C$22:$H$28,MATCH($D57,'1.기준정보'!$A$22:$A$28,0),MATCH($E57,'1.기준정보'!$C$21:$H$21,0)))</f>
        <v/>
      </c>
      <c r="H57" s="43" t="n"/>
      <c r="I57" s="43" t="n"/>
      <c r="J57" s="45">
        <f>IF(OR($G57="",$G57=0,$I57=""),"",$I57/$G57)</f>
        <v/>
      </c>
      <c r="K57" s="43" t="n"/>
      <c r="L57" s="43" t="n"/>
      <c r="M57" s="43" t="n"/>
      <c r="N57" s="43" t="n"/>
      <c r="O57" s="42">
        <f>IF($N57="","",IFERROR(INDEX('1.기준정보'!$B$44:$B$55,MATCH($N57,'1.기준정보'!$A$44:$A$55,0)),"미정"))</f>
        <v/>
      </c>
      <c r="P57" s="46">
        <f>IF(OR($M57="",$K57=""),"",$M57*$K57)</f>
        <v/>
      </c>
      <c r="Q57" s="44">
        <f>IF($P57="","",$P57*'1.기준정보'!$B$5)</f>
        <v/>
      </c>
      <c r="R57" s="47" t="n"/>
    </row>
    <row r="58">
      <c r="A58" s="40" t="n">
        <v>46259</v>
      </c>
      <c r="B58" s="41">
        <f>IF($A58="","",WEEKNUM($A58,21))</f>
        <v/>
      </c>
      <c r="C58" s="42">
        <f>IF($A58="","",CHOOSE(WEEKDAY($A58),"일","월","화","수","목","금","토"))</f>
        <v/>
      </c>
      <c r="D58" s="42" t="inlineStr">
        <is>
          <t>7호기</t>
        </is>
      </c>
      <c r="E58" s="43" t="n"/>
      <c r="F58" s="43" t="n"/>
      <c r="G58" s="44">
        <f>IF(OR($D58="",$E58=""),"",INDEX('1.기준정보'!$C$22:$H$28,MATCH($D58,'1.기준정보'!$A$22:$A$28,0),MATCH($E58,'1.기준정보'!$C$21:$H$21,0)))</f>
        <v/>
      </c>
      <c r="H58" s="43" t="n"/>
      <c r="I58" s="43" t="n"/>
      <c r="J58" s="45">
        <f>IF(OR($G58="",$G58=0,$I58=""),"",$I58/$G58)</f>
        <v/>
      </c>
      <c r="K58" s="43" t="n"/>
      <c r="L58" s="43" t="n"/>
      <c r="M58" s="43" t="n"/>
      <c r="N58" s="43" t="n"/>
      <c r="O58" s="42">
        <f>IF($N58="","",IFERROR(INDEX('1.기준정보'!$B$44:$B$55,MATCH($N58,'1.기준정보'!$A$44:$A$55,0)),"미정"))</f>
        <v/>
      </c>
      <c r="P58" s="46">
        <f>IF(OR($M58="",$K58=""),"",$M58*$K58)</f>
        <v/>
      </c>
      <c r="Q58" s="44">
        <f>IF($P58="","",$P58*'1.기준정보'!$B$5)</f>
        <v/>
      </c>
      <c r="R58" s="47" t="n"/>
    </row>
    <row r="59">
      <c r="A59" s="40" t="n">
        <v>46259</v>
      </c>
      <c r="B59" s="41">
        <f>IF($A59="","",WEEKNUM($A59,21))</f>
        <v/>
      </c>
      <c r="C59" s="42">
        <f>IF($A59="","",CHOOSE(WEEKDAY($A59),"일","월","화","수","목","금","토"))</f>
        <v/>
      </c>
      <c r="D59" s="42" t="inlineStr">
        <is>
          <t>8호기</t>
        </is>
      </c>
      <c r="E59" s="43" t="n"/>
      <c r="F59" s="43" t="n"/>
      <c r="G59" s="44">
        <f>IF(OR($D59="",$E59=""),"",INDEX('1.기준정보'!$C$22:$H$28,MATCH($D59,'1.기준정보'!$A$22:$A$28,0),MATCH($E59,'1.기준정보'!$C$21:$H$21,0)))</f>
        <v/>
      </c>
      <c r="H59" s="43" t="n"/>
      <c r="I59" s="43" t="n"/>
      <c r="J59" s="45">
        <f>IF(OR($G59="",$G59=0,$I59=""),"",$I59/$G59)</f>
        <v/>
      </c>
      <c r="K59" s="43" t="n"/>
      <c r="L59" s="43" t="n"/>
      <c r="M59" s="43" t="n"/>
      <c r="N59" s="43" t="n"/>
      <c r="O59" s="42">
        <f>IF($N59="","",IFERROR(INDEX('1.기준정보'!$B$44:$B$55,MATCH($N59,'1.기준정보'!$A$44:$A$55,0)),"미정"))</f>
        <v/>
      </c>
      <c r="P59" s="46">
        <f>IF(OR($M59="",$K59=""),"",$M59*$K59)</f>
        <v/>
      </c>
      <c r="Q59" s="44">
        <f>IF($P59="","",$P59*'1.기준정보'!$B$5)</f>
        <v/>
      </c>
      <c r="R59" s="47" t="n"/>
    </row>
    <row r="60">
      <c r="A60" s="40" t="n">
        <v>46260</v>
      </c>
      <c r="B60" s="41">
        <f>IF($A60="","",WEEKNUM($A60,21))</f>
        <v/>
      </c>
      <c r="C60" s="42">
        <f>IF($A60="","",CHOOSE(WEEKDAY($A60),"일","월","화","수","목","금","토"))</f>
        <v/>
      </c>
      <c r="D60" s="42" t="inlineStr">
        <is>
          <t>2호기</t>
        </is>
      </c>
      <c r="E60" s="43" t="n"/>
      <c r="F60" s="43" t="n"/>
      <c r="G60" s="44">
        <f>IF(OR($D60="",$E60=""),"",INDEX('1.기준정보'!$C$22:$H$28,MATCH($D60,'1.기준정보'!$A$22:$A$28,0),MATCH($E60,'1.기준정보'!$C$21:$H$21,0)))</f>
        <v/>
      </c>
      <c r="H60" s="43" t="n"/>
      <c r="I60" s="43" t="n"/>
      <c r="J60" s="45">
        <f>IF(OR($G60="",$G60=0,$I60=""),"",$I60/$G60)</f>
        <v/>
      </c>
      <c r="K60" s="43" t="n"/>
      <c r="L60" s="43" t="n"/>
      <c r="M60" s="43" t="n"/>
      <c r="N60" s="43" t="n"/>
      <c r="O60" s="42">
        <f>IF($N60="","",IFERROR(INDEX('1.기준정보'!$B$44:$B$55,MATCH($N60,'1.기준정보'!$A$44:$A$55,0)),"미정"))</f>
        <v/>
      </c>
      <c r="P60" s="46">
        <f>IF(OR($M60="",$K60=""),"",$M60*$K60)</f>
        <v/>
      </c>
      <c r="Q60" s="44">
        <f>IF($P60="","",$P60*'1.기준정보'!$B$5)</f>
        <v/>
      </c>
      <c r="R60" s="47" t="n"/>
    </row>
    <row r="61">
      <c r="A61" s="40" t="n">
        <v>46260</v>
      </c>
      <c r="B61" s="41">
        <f>IF($A61="","",WEEKNUM($A61,21))</f>
        <v/>
      </c>
      <c r="C61" s="42">
        <f>IF($A61="","",CHOOSE(WEEKDAY($A61),"일","월","화","수","목","금","토"))</f>
        <v/>
      </c>
      <c r="D61" s="42" t="inlineStr">
        <is>
          <t>3호기</t>
        </is>
      </c>
      <c r="E61" s="43" t="n"/>
      <c r="F61" s="43" t="n"/>
      <c r="G61" s="44">
        <f>IF(OR($D61="",$E61=""),"",INDEX('1.기준정보'!$C$22:$H$28,MATCH($D61,'1.기준정보'!$A$22:$A$28,0),MATCH($E61,'1.기준정보'!$C$21:$H$21,0)))</f>
        <v/>
      </c>
      <c r="H61" s="43" t="n"/>
      <c r="I61" s="43" t="n"/>
      <c r="J61" s="45">
        <f>IF(OR($G61="",$G61=0,$I61=""),"",$I61/$G61)</f>
        <v/>
      </c>
      <c r="K61" s="43" t="n"/>
      <c r="L61" s="43" t="n"/>
      <c r="M61" s="43" t="n"/>
      <c r="N61" s="43" t="n"/>
      <c r="O61" s="42">
        <f>IF($N61="","",IFERROR(INDEX('1.기준정보'!$B$44:$B$55,MATCH($N61,'1.기준정보'!$A$44:$A$55,0)),"미정"))</f>
        <v/>
      </c>
      <c r="P61" s="46">
        <f>IF(OR($M61="",$K61=""),"",$M61*$K61)</f>
        <v/>
      </c>
      <c r="Q61" s="44">
        <f>IF($P61="","",$P61*'1.기준정보'!$B$5)</f>
        <v/>
      </c>
      <c r="R61" s="47" t="n"/>
    </row>
    <row r="62">
      <c r="A62" s="40" t="n">
        <v>46260</v>
      </c>
      <c r="B62" s="41">
        <f>IF($A62="","",WEEKNUM($A62,21))</f>
        <v/>
      </c>
      <c r="C62" s="42">
        <f>IF($A62="","",CHOOSE(WEEKDAY($A62),"일","월","화","수","목","금","토"))</f>
        <v/>
      </c>
      <c r="D62" s="42" t="inlineStr">
        <is>
          <t>4호기</t>
        </is>
      </c>
      <c r="E62" s="43" t="n"/>
      <c r="F62" s="43" t="n"/>
      <c r="G62" s="44">
        <f>IF(OR($D62="",$E62=""),"",INDEX('1.기준정보'!$C$22:$H$28,MATCH($D62,'1.기준정보'!$A$22:$A$28,0),MATCH($E62,'1.기준정보'!$C$21:$H$21,0)))</f>
        <v/>
      </c>
      <c r="H62" s="43" t="n"/>
      <c r="I62" s="43" t="n"/>
      <c r="J62" s="45">
        <f>IF(OR($G62="",$G62=0,$I62=""),"",$I62/$G62)</f>
        <v/>
      </c>
      <c r="K62" s="43" t="n"/>
      <c r="L62" s="43" t="n"/>
      <c r="M62" s="43" t="n"/>
      <c r="N62" s="43" t="n"/>
      <c r="O62" s="42">
        <f>IF($N62="","",IFERROR(INDEX('1.기준정보'!$B$44:$B$55,MATCH($N62,'1.기준정보'!$A$44:$A$55,0)),"미정"))</f>
        <v/>
      </c>
      <c r="P62" s="46">
        <f>IF(OR($M62="",$K62=""),"",$M62*$K62)</f>
        <v/>
      </c>
      <c r="Q62" s="44">
        <f>IF($P62="","",$P62*'1.기준정보'!$B$5)</f>
        <v/>
      </c>
      <c r="R62" s="47" t="n"/>
    </row>
    <row r="63">
      <c r="A63" s="40" t="n">
        <v>46260</v>
      </c>
      <c r="B63" s="41">
        <f>IF($A63="","",WEEKNUM($A63,21))</f>
        <v/>
      </c>
      <c r="C63" s="42">
        <f>IF($A63="","",CHOOSE(WEEKDAY($A63),"일","월","화","수","목","금","토"))</f>
        <v/>
      </c>
      <c r="D63" s="42" t="inlineStr">
        <is>
          <t>5호기</t>
        </is>
      </c>
      <c r="E63" s="43" t="n"/>
      <c r="F63" s="43" t="n"/>
      <c r="G63" s="44">
        <f>IF(OR($D63="",$E63=""),"",INDEX('1.기준정보'!$C$22:$H$28,MATCH($D63,'1.기준정보'!$A$22:$A$28,0),MATCH($E63,'1.기준정보'!$C$21:$H$21,0)))</f>
        <v/>
      </c>
      <c r="H63" s="43" t="n"/>
      <c r="I63" s="43" t="n"/>
      <c r="J63" s="45">
        <f>IF(OR($G63="",$G63=0,$I63=""),"",$I63/$G63)</f>
        <v/>
      </c>
      <c r="K63" s="43" t="n"/>
      <c r="L63" s="43" t="n"/>
      <c r="M63" s="43" t="n"/>
      <c r="N63" s="43" t="n"/>
      <c r="O63" s="42">
        <f>IF($N63="","",IFERROR(INDEX('1.기준정보'!$B$44:$B$55,MATCH($N63,'1.기준정보'!$A$44:$A$55,0)),"미정"))</f>
        <v/>
      </c>
      <c r="P63" s="46">
        <f>IF(OR($M63="",$K63=""),"",$M63*$K63)</f>
        <v/>
      </c>
      <c r="Q63" s="44">
        <f>IF($P63="","",$P63*'1.기준정보'!$B$5)</f>
        <v/>
      </c>
      <c r="R63" s="47" t="n"/>
    </row>
    <row r="64">
      <c r="A64" s="40" t="n">
        <v>46260</v>
      </c>
      <c r="B64" s="41">
        <f>IF($A64="","",WEEKNUM($A64,21))</f>
        <v/>
      </c>
      <c r="C64" s="42">
        <f>IF($A64="","",CHOOSE(WEEKDAY($A64),"일","월","화","수","목","금","토"))</f>
        <v/>
      </c>
      <c r="D64" s="42" t="inlineStr">
        <is>
          <t>6호기</t>
        </is>
      </c>
      <c r="E64" s="43" t="n"/>
      <c r="F64" s="43" t="n"/>
      <c r="G64" s="44">
        <f>IF(OR($D64="",$E64=""),"",INDEX('1.기준정보'!$C$22:$H$28,MATCH($D64,'1.기준정보'!$A$22:$A$28,0),MATCH($E64,'1.기준정보'!$C$21:$H$21,0)))</f>
        <v/>
      </c>
      <c r="H64" s="43" t="n"/>
      <c r="I64" s="43" t="n"/>
      <c r="J64" s="45">
        <f>IF(OR($G64="",$G64=0,$I64=""),"",$I64/$G64)</f>
        <v/>
      </c>
      <c r="K64" s="43" t="n"/>
      <c r="L64" s="43" t="n"/>
      <c r="M64" s="43" t="n"/>
      <c r="N64" s="43" t="n"/>
      <c r="O64" s="42">
        <f>IF($N64="","",IFERROR(INDEX('1.기준정보'!$B$44:$B$55,MATCH($N64,'1.기준정보'!$A$44:$A$55,0)),"미정"))</f>
        <v/>
      </c>
      <c r="P64" s="46">
        <f>IF(OR($M64="",$K64=""),"",$M64*$K64)</f>
        <v/>
      </c>
      <c r="Q64" s="44">
        <f>IF($P64="","",$P64*'1.기준정보'!$B$5)</f>
        <v/>
      </c>
      <c r="R64" s="47" t="n"/>
    </row>
    <row r="65">
      <c r="A65" s="40" t="n">
        <v>46260</v>
      </c>
      <c r="B65" s="41">
        <f>IF($A65="","",WEEKNUM($A65,21))</f>
        <v/>
      </c>
      <c r="C65" s="42">
        <f>IF($A65="","",CHOOSE(WEEKDAY($A65),"일","월","화","수","목","금","토"))</f>
        <v/>
      </c>
      <c r="D65" s="42" t="inlineStr">
        <is>
          <t>7호기</t>
        </is>
      </c>
      <c r="E65" s="43" t="n"/>
      <c r="F65" s="43" t="n"/>
      <c r="G65" s="44">
        <f>IF(OR($D65="",$E65=""),"",INDEX('1.기준정보'!$C$22:$H$28,MATCH($D65,'1.기준정보'!$A$22:$A$28,0),MATCH($E65,'1.기준정보'!$C$21:$H$21,0)))</f>
        <v/>
      </c>
      <c r="H65" s="43" t="n"/>
      <c r="I65" s="43" t="n"/>
      <c r="J65" s="45">
        <f>IF(OR($G65="",$G65=0,$I65=""),"",$I65/$G65)</f>
        <v/>
      </c>
      <c r="K65" s="43" t="n"/>
      <c r="L65" s="43" t="n"/>
      <c r="M65" s="43" t="n"/>
      <c r="N65" s="43" t="n"/>
      <c r="O65" s="42">
        <f>IF($N65="","",IFERROR(INDEX('1.기준정보'!$B$44:$B$55,MATCH($N65,'1.기준정보'!$A$44:$A$55,0)),"미정"))</f>
        <v/>
      </c>
      <c r="P65" s="46">
        <f>IF(OR($M65="",$K65=""),"",$M65*$K65)</f>
        <v/>
      </c>
      <c r="Q65" s="44">
        <f>IF($P65="","",$P65*'1.기준정보'!$B$5)</f>
        <v/>
      </c>
      <c r="R65" s="47" t="n"/>
    </row>
    <row r="66">
      <c r="A66" s="40" t="n">
        <v>46260</v>
      </c>
      <c r="B66" s="41">
        <f>IF($A66="","",WEEKNUM($A66,21))</f>
        <v/>
      </c>
      <c r="C66" s="42">
        <f>IF($A66="","",CHOOSE(WEEKDAY($A66),"일","월","화","수","목","금","토"))</f>
        <v/>
      </c>
      <c r="D66" s="42" t="inlineStr">
        <is>
          <t>8호기</t>
        </is>
      </c>
      <c r="E66" s="43" t="n"/>
      <c r="F66" s="43" t="n"/>
      <c r="G66" s="44">
        <f>IF(OR($D66="",$E66=""),"",INDEX('1.기준정보'!$C$22:$H$28,MATCH($D66,'1.기준정보'!$A$22:$A$28,0),MATCH($E66,'1.기준정보'!$C$21:$H$21,0)))</f>
        <v/>
      </c>
      <c r="H66" s="43" t="n"/>
      <c r="I66" s="43" t="n"/>
      <c r="J66" s="45">
        <f>IF(OR($G66="",$G66=0,$I66=""),"",$I66/$G66)</f>
        <v/>
      </c>
      <c r="K66" s="43" t="n"/>
      <c r="L66" s="43" t="n"/>
      <c r="M66" s="43" t="n"/>
      <c r="N66" s="43" t="n"/>
      <c r="O66" s="42">
        <f>IF($N66="","",IFERROR(INDEX('1.기준정보'!$B$44:$B$55,MATCH($N66,'1.기준정보'!$A$44:$A$55,0)),"미정"))</f>
        <v/>
      </c>
      <c r="P66" s="46">
        <f>IF(OR($M66="",$K66=""),"",$M66*$K66)</f>
        <v/>
      </c>
      <c r="Q66" s="44">
        <f>IF($P66="","",$P66*'1.기준정보'!$B$5)</f>
        <v/>
      </c>
      <c r="R66" s="47" t="n"/>
    </row>
    <row r="67">
      <c r="A67" s="40" t="n">
        <v>46261</v>
      </c>
      <c r="B67" s="41">
        <f>IF($A67="","",WEEKNUM($A67,21))</f>
        <v/>
      </c>
      <c r="C67" s="42">
        <f>IF($A67="","",CHOOSE(WEEKDAY($A67),"일","월","화","수","목","금","토"))</f>
        <v/>
      </c>
      <c r="D67" s="42" t="inlineStr">
        <is>
          <t>2호기</t>
        </is>
      </c>
      <c r="E67" s="43" t="n"/>
      <c r="F67" s="43" t="n"/>
      <c r="G67" s="44">
        <f>IF(OR($D67="",$E67=""),"",INDEX('1.기준정보'!$C$22:$H$28,MATCH($D67,'1.기준정보'!$A$22:$A$28,0),MATCH($E67,'1.기준정보'!$C$21:$H$21,0)))</f>
        <v/>
      </c>
      <c r="H67" s="43" t="n"/>
      <c r="I67" s="43" t="n"/>
      <c r="J67" s="45">
        <f>IF(OR($G67="",$G67=0,$I67=""),"",$I67/$G67)</f>
        <v/>
      </c>
      <c r="K67" s="43" t="n"/>
      <c r="L67" s="43" t="n"/>
      <c r="M67" s="43" t="n"/>
      <c r="N67" s="43" t="n"/>
      <c r="O67" s="42">
        <f>IF($N67="","",IFERROR(INDEX('1.기준정보'!$B$44:$B$55,MATCH($N67,'1.기준정보'!$A$44:$A$55,0)),"미정"))</f>
        <v/>
      </c>
      <c r="P67" s="46">
        <f>IF(OR($M67="",$K67=""),"",$M67*$K67)</f>
        <v/>
      </c>
      <c r="Q67" s="44">
        <f>IF($P67="","",$P67*'1.기준정보'!$B$5)</f>
        <v/>
      </c>
      <c r="R67" s="47" t="n"/>
    </row>
    <row r="68">
      <c r="A68" s="40" t="n">
        <v>46261</v>
      </c>
      <c r="B68" s="41">
        <f>IF($A68="","",WEEKNUM($A68,21))</f>
        <v/>
      </c>
      <c r="C68" s="42">
        <f>IF($A68="","",CHOOSE(WEEKDAY($A68),"일","월","화","수","목","금","토"))</f>
        <v/>
      </c>
      <c r="D68" s="42" t="inlineStr">
        <is>
          <t>3호기</t>
        </is>
      </c>
      <c r="E68" s="43" t="n"/>
      <c r="F68" s="43" t="n"/>
      <c r="G68" s="44">
        <f>IF(OR($D68="",$E68=""),"",INDEX('1.기준정보'!$C$22:$H$28,MATCH($D68,'1.기준정보'!$A$22:$A$28,0),MATCH($E68,'1.기준정보'!$C$21:$H$21,0)))</f>
        <v/>
      </c>
      <c r="H68" s="43" t="n"/>
      <c r="I68" s="43" t="n"/>
      <c r="J68" s="45">
        <f>IF(OR($G68="",$G68=0,$I68=""),"",$I68/$G68)</f>
        <v/>
      </c>
      <c r="K68" s="43" t="n"/>
      <c r="L68" s="43" t="n"/>
      <c r="M68" s="43" t="n"/>
      <c r="N68" s="43" t="n"/>
      <c r="O68" s="42">
        <f>IF($N68="","",IFERROR(INDEX('1.기준정보'!$B$44:$B$55,MATCH($N68,'1.기준정보'!$A$44:$A$55,0)),"미정"))</f>
        <v/>
      </c>
      <c r="P68" s="46">
        <f>IF(OR($M68="",$K68=""),"",$M68*$K68)</f>
        <v/>
      </c>
      <c r="Q68" s="44">
        <f>IF($P68="","",$P68*'1.기준정보'!$B$5)</f>
        <v/>
      </c>
      <c r="R68" s="47" t="n"/>
    </row>
    <row r="69">
      <c r="A69" s="40" t="n">
        <v>46261</v>
      </c>
      <c r="B69" s="41">
        <f>IF($A69="","",WEEKNUM($A69,21))</f>
        <v/>
      </c>
      <c r="C69" s="42">
        <f>IF($A69="","",CHOOSE(WEEKDAY($A69),"일","월","화","수","목","금","토"))</f>
        <v/>
      </c>
      <c r="D69" s="42" t="inlineStr">
        <is>
          <t>4호기</t>
        </is>
      </c>
      <c r="E69" s="43" t="n"/>
      <c r="F69" s="43" t="n"/>
      <c r="G69" s="44">
        <f>IF(OR($D69="",$E69=""),"",INDEX('1.기준정보'!$C$22:$H$28,MATCH($D69,'1.기준정보'!$A$22:$A$28,0),MATCH($E69,'1.기준정보'!$C$21:$H$21,0)))</f>
        <v/>
      </c>
      <c r="H69" s="43" t="n"/>
      <c r="I69" s="43" t="n"/>
      <c r="J69" s="45">
        <f>IF(OR($G69="",$G69=0,$I69=""),"",$I69/$G69)</f>
        <v/>
      </c>
      <c r="K69" s="43" t="n"/>
      <c r="L69" s="43" t="n"/>
      <c r="M69" s="43" t="n"/>
      <c r="N69" s="43" t="n"/>
      <c r="O69" s="42">
        <f>IF($N69="","",IFERROR(INDEX('1.기준정보'!$B$44:$B$55,MATCH($N69,'1.기준정보'!$A$44:$A$55,0)),"미정"))</f>
        <v/>
      </c>
      <c r="P69" s="46">
        <f>IF(OR($M69="",$K69=""),"",$M69*$K69)</f>
        <v/>
      </c>
      <c r="Q69" s="44">
        <f>IF($P69="","",$P69*'1.기준정보'!$B$5)</f>
        <v/>
      </c>
      <c r="R69" s="47" t="n"/>
    </row>
    <row r="70">
      <c r="A70" s="40" t="n">
        <v>46261</v>
      </c>
      <c r="B70" s="41">
        <f>IF($A70="","",WEEKNUM($A70,21))</f>
        <v/>
      </c>
      <c r="C70" s="42">
        <f>IF($A70="","",CHOOSE(WEEKDAY($A70),"일","월","화","수","목","금","토"))</f>
        <v/>
      </c>
      <c r="D70" s="42" t="inlineStr">
        <is>
          <t>5호기</t>
        </is>
      </c>
      <c r="E70" s="43" t="n"/>
      <c r="F70" s="43" t="n"/>
      <c r="G70" s="44">
        <f>IF(OR($D70="",$E70=""),"",INDEX('1.기준정보'!$C$22:$H$28,MATCH($D70,'1.기준정보'!$A$22:$A$28,0),MATCH($E70,'1.기준정보'!$C$21:$H$21,0)))</f>
        <v/>
      </c>
      <c r="H70" s="43" t="n"/>
      <c r="I70" s="43" t="n"/>
      <c r="J70" s="45">
        <f>IF(OR($G70="",$G70=0,$I70=""),"",$I70/$G70)</f>
        <v/>
      </c>
      <c r="K70" s="43" t="n"/>
      <c r="L70" s="43" t="n"/>
      <c r="M70" s="43" t="n"/>
      <c r="N70" s="43" t="n"/>
      <c r="O70" s="42">
        <f>IF($N70="","",IFERROR(INDEX('1.기준정보'!$B$44:$B$55,MATCH($N70,'1.기준정보'!$A$44:$A$55,0)),"미정"))</f>
        <v/>
      </c>
      <c r="P70" s="46">
        <f>IF(OR($M70="",$K70=""),"",$M70*$K70)</f>
        <v/>
      </c>
      <c r="Q70" s="44">
        <f>IF($P70="","",$P70*'1.기준정보'!$B$5)</f>
        <v/>
      </c>
      <c r="R70" s="47" t="n"/>
    </row>
    <row r="71">
      <c r="A71" s="40" t="n">
        <v>46261</v>
      </c>
      <c r="B71" s="41">
        <f>IF($A71="","",WEEKNUM($A71,21))</f>
        <v/>
      </c>
      <c r="C71" s="42">
        <f>IF($A71="","",CHOOSE(WEEKDAY($A71),"일","월","화","수","목","금","토"))</f>
        <v/>
      </c>
      <c r="D71" s="42" t="inlineStr">
        <is>
          <t>6호기</t>
        </is>
      </c>
      <c r="E71" s="43" t="n"/>
      <c r="F71" s="43" t="n"/>
      <c r="G71" s="44">
        <f>IF(OR($D71="",$E71=""),"",INDEX('1.기준정보'!$C$22:$H$28,MATCH($D71,'1.기준정보'!$A$22:$A$28,0),MATCH($E71,'1.기준정보'!$C$21:$H$21,0)))</f>
        <v/>
      </c>
      <c r="H71" s="43" t="n"/>
      <c r="I71" s="43" t="n"/>
      <c r="J71" s="45">
        <f>IF(OR($G71="",$G71=0,$I71=""),"",$I71/$G71)</f>
        <v/>
      </c>
      <c r="K71" s="43" t="n"/>
      <c r="L71" s="43" t="n"/>
      <c r="M71" s="43" t="n"/>
      <c r="N71" s="43" t="n"/>
      <c r="O71" s="42">
        <f>IF($N71="","",IFERROR(INDEX('1.기준정보'!$B$44:$B$55,MATCH($N71,'1.기준정보'!$A$44:$A$55,0)),"미정"))</f>
        <v/>
      </c>
      <c r="P71" s="46">
        <f>IF(OR($M71="",$K71=""),"",$M71*$K71)</f>
        <v/>
      </c>
      <c r="Q71" s="44">
        <f>IF($P71="","",$P71*'1.기준정보'!$B$5)</f>
        <v/>
      </c>
      <c r="R71" s="47" t="n"/>
    </row>
    <row r="72">
      <c r="A72" s="40" t="n">
        <v>46261</v>
      </c>
      <c r="B72" s="41">
        <f>IF($A72="","",WEEKNUM($A72,21))</f>
        <v/>
      </c>
      <c r="C72" s="42">
        <f>IF($A72="","",CHOOSE(WEEKDAY($A72),"일","월","화","수","목","금","토"))</f>
        <v/>
      </c>
      <c r="D72" s="42" t="inlineStr">
        <is>
          <t>7호기</t>
        </is>
      </c>
      <c r="E72" s="43" t="n"/>
      <c r="F72" s="43" t="n"/>
      <c r="G72" s="44">
        <f>IF(OR($D72="",$E72=""),"",INDEX('1.기준정보'!$C$22:$H$28,MATCH($D72,'1.기준정보'!$A$22:$A$28,0),MATCH($E72,'1.기준정보'!$C$21:$H$21,0)))</f>
        <v/>
      </c>
      <c r="H72" s="43" t="n"/>
      <c r="I72" s="43" t="n"/>
      <c r="J72" s="45">
        <f>IF(OR($G72="",$G72=0,$I72=""),"",$I72/$G72)</f>
        <v/>
      </c>
      <c r="K72" s="43" t="n"/>
      <c r="L72" s="43" t="n"/>
      <c r="M72" s="43" t="n"/>
      <c r="N72" s="43" t="n"/>
      <c r="O72" s="42">
        <f>IF($N72="","",IFERROR(INDEX('1.기준정보'!$B$44:$B$55,MATCH($N72,'1.기준정보'!$A$44:$A$55,0)),"미정"))</f>
        <v/>
      </c>
      <c r="P72" s="46">
        <f>IF(OR($M72="",$K72=""),"",$M72*$K72)</f>
        <v/>
      </c>
      <c r="Q72" s="44">
        <f>IF($P72="","",$P72*'1.기준정보'!$B$5)</f>
        <v/>
      </c>
      <c r="R72" s="47" t="n"/>
    </row>
    <row r="73">
      <c r="A73" s="40" t="n">
        <v>46261</v>
      </c>
      <c r="B73" s="41">
        <f>IF($A73="","",WEEKNUM($A73,21))</f>
        <v/>
      </c>
      <c r="C73" s="42">
        <f>IF($A73="","",CHOOSE(WEEKDAY($A73),"일","월","화","수","목","금","토"))</f>
        <v/>
      </c>
      <c r="D73" s="42" t="inlineStr">
        <is>
          <t>8호기</t>
        </is>
      </c>
      <c r="E73" s="43" t="n"/>
      <c r="F73" s="43" t="n"/>
      <c r="G73" s="44">
        <f>IF(OR($D73="",$E73=""),"",INDEX('1.기준정보'!$C$22:$H$28,MATCH($D73,'1.기준정보'!$A$22:$A$28,0),MATCH($E73,'1.기준정보'!$C$21:$H$21,0)))</f>
        <v/>
      </c>
      <c r="H73" s="43" t="n"/>
      <c r="I73" s="43" t="n"/>
      <c r="J73" s="45">
        <f>IF(OR($G73="",$G73=0,$I73=""),"",$I73/$G73)</f>
        <v/>
      </c>
      <c r="K73" s="43" t="n"/>
      <c r="L73" s="43" t="n"/>
      <c r="M73" s="43" t="n"/>
      <c r="N73" s="43" t="n"/>
      <c r="O73" s="42">
        <f>IF($N73="","",IFERROR(INDEX('1.기준정보'!$B$44:$B$55,MATCH($N73,'1.기준정보'!$A$44:$A$55,0)),"미정"))</f>
        <v/>
      </c>
      <c r="P73" s="46">
        <f>IF(OR($M73="",$K73=""),"",$M73*$K73)</f>
        <v/>
      </c>
      <c r="Q73" s="44">
        <f>IF($P73="","",$P73*'1.기준정보'!$B$5)</f>
        <v/>
      </c>
      <c r="R73" s="47" t="n"/>
    </row>
    <row r="74">
      <c r="A74" s="40" t="n">
        <v>46262</v>
      </c>
      <c r="B74" s="41">
        <f>IF($A74="","",WEEKNUM($A74,21))</f>
        <v/>
      </c>
      <c r="C74" s="42">
        <f>IF($A74="","",CHOOSE(WEEKDAY($A74),"일","월","화","수","목","금","토"))</f>
        <v/>
      </c>
      <c r="D74" s="42" t="inlineStr">
        <is>
          <t>2호기</t>
        </is>
      </c>
      <c r="E74" s="43" t="n"/>
      <c r="F74" s="43" t="n"/>
      <c r="G74" s="44">
        <f>IF(OR($D74="",$E74=""),"",INDEX('1.기준정보'!$C$22:$H$28,MATCH($D74,'1.기준정보'!$A$22:$A$28,0),MATCH($E74,'1.기준정보'!$C$21:$H$21,0)))</f>
        <v/>
      </c>
      <c r="H74" s="43" t="n"/>
      <c r="I74" s="43" t="n"/>
      <c r="J74" s="45">
        <f>IF(OR($G74="",$G74=0,$I74=""),"",$I74/$G74)</f>
        <v/>
      </c>
      <c r="K74" s="43" t="n"/>
      <c r="L74" s="43" t="n"/>
      <c r="M74" s="43" t="n"/>
      <c r="N74" s="43" t="n"/>
      <c r="O74" s="42">
        <f>IF($N74="","",IFERROR(INDEX('1.기준정보'!$B$44:$B$55,MATCH($N74,'1.기준정보'!$A$44:$A$55,0)),"미정"))</f>
        <v/>
      </c>
      <c r="P74" s="46">
        <f>IF(OR($M74="",$K74=""),"",$M74*$K74)</f>
        <v/>
      </c>
      <c r="Q74" s="44">
        <f>IF($P74="","",$P74*'1.기준정보'!$B$5)</f>
        <v/>
      </c>
      <c r="R74" s="47" t="n"/>
    </row>
    <row r="75">
      <c r="A75" s="40" t="n">
        <v>46262</v>
      </c>
      <c r="B75" s="41">
        <f>IF($A75="","",WEEKNUM($A75,21))</f>
        <v/>
      </c>
      <c r="C75" s="42">
        <f>IF($A75="","",CHOOSE(WEEKDAY($A75),"일","월","화","수","목","금","토"))</f>
        <v/>
      </c>
      <c r="D75" s="42" t="inlineStr">
        <is>
          <t>3호기</t>
        </is>
      </c>
      <c r="E75" s="43" t="n"/>
      <c r="F75" s="43" t="n"/>
      <c r="G75" s="44">
        <f>IF(OR($D75="",$E75=""),"",INDEX('1.기준정보'!$C$22:$H$28,MATCH($D75,'1.기준정보'!$A$22:$A$28,0),MATCH($E75,'1.기준정보'!$C$21:$H$21,0)))</f>
        <v/>
      </c>
      <c r="H75" s="43" t="n"/>
      <c r="I75" s="43" t="n"/>
      <c r="J75" s="45">
        <f>IF(OR($G75="",$G75=0,$I75=""),"",$I75/$G75)</f>
        <v/>
      </c>
      <c r="K75" s="43" t="n"/>
      <c r="L75" s="43" t="n"/>
      <c r="M75" s="43" t="n"/>
      <c r="N75" s="43" t="n"/>
      <c r="O75" s="42">
        <f>IF($N75="","",IFERROR(INDEX('1.기준정보'!$B$44:$B$55,MATCH($N75,'1.기준정보'!$A$44:$A$55,0)),"미정"))</f>
        <v/>
      </c>
      <c r="P75" s="46">
        <f>IF(OR($M75="",$K75=""),"",$M75*$K75)</f>
        <v/>
      </c>
      <c r="Q75" s="44">
        <f>IF($P75="","",$P75*'1.기준정보'!$B$5)</f>
        <v/>
      </c>
      <c r="R75" s="47" t="n"/>
    </row>
    <row r="76">
      <c r="A76" s="40" t="n">
        <v>46262</v>
      </c>
      <c r="B76" s="41">
        <f>IF($A76="","",WEEKNUM($A76,21))</f>
        <v/>
      </c>
      <c r="C76" s="42">
        <f>IF($A76="","",CHOOSE(WEEKDAY($A76),"일","월","화","수","목","금","토"))</f>
        <v/>
      </c>
      <c r="D76" s="42" t="inlineStr">
        <is>
          <t>4호기</t>
        </is>
      </c>
      <c r="E76" s="43" t="n"/>
      <c r="F76" s="43" t="n"/>
      <c r="G76" s="44">
        <f>IF(OR($D76="",$E76=""),"",INDEX('1.기준정보'!$C$22:$H$28,MATCH($D76,'1.기준정보'!$A$22:$A$28,0),MATCH($E76,'1.기준정보'!$C$21:$H$21,0)))</f>
        <v/>
      </c>
      <c r="H76" s="43" t="n"/>
      <c r="I76" s="43" t="n"/>
      <c r="J76" s="45">
        <f>IF(OR($G76="",$G76=0,$I76=""),"",$I76/$G76)</f>
        <v/>
      </c>
      <c r="K76" s="43" t="n"/>
      <c r="L76" s="43" t="n"/>
      <c r="M76" s="43" t="n"/>
      <c r="N76" s="43" t="n"/>
      <c r="O76" s="42">
        <f>IF($N76="","",IFERROR(INDEX('1.기준정보'!$B$44:$B$55,MATCH($N76,'1.기준정보'!$A$44:$A$55,0)),"미정"))</f>
        <v/>
      </c>
      <c r="P76" s="46">
        <f>IF(OR($M76="",$K76=""),"",$M76*$K76)</f>
        <v/>
      </c>
      <c r="Q76" s="44">
        <f>IF($P76="","",$P76*'1.기준정보'!$B$5)</f>
        <v/>
      </c>
      <c r="R76" s="47" t="n"/>
    </row>
    <row r="77">
      <c r="A77" s="40" t="n">
        <v>46262</v>
      </c>
      <c r="B77" s="41">
        <f>IF($A77="","",WEEKNUM($A77,21))</f>
        <v/>
      </c>
      <c r="C77" s="42">
        <f>IF($A77="","",CHOOSE(WEEKDAY($A77),"일","월","화","수","목","금","토"))</f>
        <v/>
      </c>
      <c r="D77" s="42" t="inlineStr">
        <is>
          <t>5호기</t>
        </is>
      </c>
      <c r="E77" s="43" t="n"/>
      <c r="F77" s="43" t="n"/>
      <c r="G77" s="44">
        <f>IF(OR($D77="",$E77=""),"",INDEX('1.기준정보'!$C$22:$H$28,MATCH($D77,'1.기준정보'!$A$22:$A$28,0),MATCH($E77,'1.기준정보'!$C$21:$H$21,0)))</f>
        <v/>
      </c>
      <c r="H77" s="43" t="n"/>
      <c r="I77" s="43" t="n"/>
      <c r="J77" s="45">
        <f>IF(OR($G77="",$G77=0,$I77=""),"",$I77/$G77)</f>
        <v/>
      </c>
      <c r="K77" s="43" t="n"/>
      <c r="L77" s="43" t="n"/>
      <c r="M77" s="43" t="n"/>
      <c r="N77" s="43" t="n"/>
      <c r="O77" s="42">
        <f>IF($N77="","",IFERROR(INDEX('1.기준정보'!$B$44:$B$55,MATCH($N77,'1.기준정보'!$A$44:$A$55,0)),"미정"))</f>
        <v/>
      </c>
      <c r="P77" s="46">
        <f>IF(OR($M77="",$K77=""),"",$M77*$K77)</f>
        <v/>
      </c>
      <c r="Q77" s="44">
        <f>IF($P77="","",$P77*'1.기준정보'!$B$5)</f>
        <v/>
      </c>
      <c r="R77" s="47" t="n"/>
    </row>
    <row r="78">
      <c r="A78" s="40" t="n">
        <v>46262</v>
      </c>
      <c r="B78" s="41">
        <f>IF($A78="","",WEEKNUM($A78,21))</f>
        <v/>
      </c>
      <c r="C78" s="42">
        <f>IF($A78="","",CHOOSE(WEEKDAY($A78),"일","월","화","수","목","금","토"))</f>
        <v/>
      </c>
      <c r="D78" s="42" t="inlineStr">
        <is>
          <t>6호기</t>
        </is>
      </c>
      <c r="E78" s="43" t="n"/>
      <c r="F78" s="43" t="n"/>
      <c r="G78" s="44">
        <f>IF(OR($D78="",$E78=""),"",INDEX('1.기준정보'!$C$22:$H$28,MATCH($D78,'1.기준정보'!$A$22:$A$28,0),MATCH($E78,'1.기준정보'!$C$21:$H$21,0)))</f>
        <v/>
      </c>
      <c r="H78" s="43" t="n"/>
      <c r="I78" s="43" t="n"/>
      <c r="J78" s="45">
        <f>IF(OR($G78="",$G78=0,$I78=""),"",$I78/$G78)</f>
        <v/>
      </c>
      <c r="K78" s="43" t="n"/>
      <c r="L78" s="43" t="n"/>
      <c r="M78" s="43" t="n"/>
      <c r="N78" s="43" t="n"/>
      <c r="O78" s="42">
        <f>IF($N78="","",IFERROR(INDEX('1.기준정보'!$B$44:$B$55,MATCH($N78,'1.기준정보'!$A$44:$A$55,0)),"미정"))</f>
        <v/>
      </c>
      <c r="P78" s="46">
        <f>IF(OR($M78="",$K78=""),"",$M78*$K78)</f>
        <v/>
      </c>
      <c r="Q78" s="44">
        <f>IF($P78="","",$P78*'1.기준정보'!$B$5)</f>
        <v/>
      </c>
      <c r="R78" s="47" t="n"/>
    </row>
    <row r="79">
      <c r="A79" s="40" t="n">
        <v>46262</v>
      </c>
      <c r="B79" s="41">
        <f>IF($A79="","",WEEKNUM($A79,21))</f>
        <v/>
      </c>
      <c r="C79" s="42">
        <f>IF($A79="","",CHOOSE(WEEKDAY($A79),"일","월","화","수","목","금","토"))</f>
        <v/>
      </c>
      <c r="D79" s="42" t="inlineStr">
        <is>
          <t>7호기</t>
        </is>
      </c>
      <c r="E79" s="43" t="n"/>
      <c r="F79" s="43" t="n"/>
      <c r="G79" s="44">
        <f>IF(OR($D79="",$E79=""),"",INDEX('1.기준정보'!$C$22:$H$28,MATCH($D79,'1.기준정보'!$A$22:$A$28,0),MATCH($E79,'1.기준정보'!$C$21:$H$21,0)))</f>
        <v/>
      </c>
      <c r="H79" s="43" t="n"/>
      <c r="I79" s="43" t="n"/>
      <c r="J79" s="45">
        <f>IF(OR($G79="",$G79=0,$I79=""),"",$I79/$G79)</f>
        <v/>
      </c>
      <c r="K79" s="43" t="n"/>
      <c r="L79" s="43" t="n"/>
      <c r="M79" s="43" t="n"/>
      <c r="N79" s="43" t="n"/>
      <c r="O79" s="42">
        <f>IF($N79="","",IFERROR(INDEX('1.기준정보'!$B$44:$B$55,MATCH($N79,'1.기준정보'!$A$44:$A$55,0)),"미정"))</f>
        <v/>
      </c>
      <c r="P79" s="46">
        <f>IF(OR($M79="",$K79=""),"",$M79*$K79)</f>
        <v/>
      </c>
      <c r="Q79" s="44">
        <f>IF($P79="","",$P79*'1.기준정보'!$B$5)</f>
        <v/>
      </c>
      <c r="R79" s="47" t="n"/>
    </row>
    <row r="80">
      <c r="A80" s="40" t="n">
        <v>46262</v>
      </c>
      <c r="B80" s="41">
        <f>IF($A80="","",WEEKNUM($A80,21))</f>
        <v/>
      </c>
      <c r="C80" s="42">
        <f>IF($A80="","",CHOOSE(WEEKDAY($A80),"일","월","화","수","목","금","토"))</f>
        <v/>
      </c>
      <c r="D80" s="42" t="inlineStr">
        <is>
          <t>8호기</t>
        </is>
      </c>
      <c r="E80" s="43" t="n"/>
      <c r="F80" s="43" t="n"/>
      <c r="G80" s="44">
        <f>IF(OR($D80="",$E80=""),"",INDEX('1.기준정보'!$C$22:$H$28,MATCH($D80,'1.기준정보'!$A$22:$A$28,0),MATCH($E80,'1.기준정보'!$C$21:$H$21,0)))</f>
        <v/>
      </c>
      <c r="H80" s="43" t="n"/>
      <c r="I80" s="43" t="n"/>
      <c r="J80" s="45">
        <f>IF(OR($G80="",$G80=0,$I80=""),"",$I80/$G80)</f>
        <v/>
      </c>
      <c r="K80" s="43" t="n"/>
      <c r="L80" s="43" t="n"/>
      <c r="M80" s="43" t="n"/>
      <c r="N80" s="43" t="n"/>
      <c r="O80" s="42">
        <f>IF($N80="","",IFERROR(INDEX('1.기준정보'!$B$44:$B$55,MATCH($N80,'1.기준정보'!$A$44:$A$55,0)),"미정"))</f>
        <v/>
      </c>
      <c r="P80" s="46">
        <f>IF(OR($M80="",$K80=""),"",$M80*$K80)</f>
        <v/>
      </c>
      <c r="Q80" s="44">
        <f>IF($P80="","",$P80*'1.기준정보'!$B$5)</f>
        <v/>
      </c>
      <c r="R80" s="47" t="n"/>
    </row>
    <row r="81">
      <c r="A81" s="40" t="n">
        <v>46263</v>
      </c>
      <c r="B81" s="41">
        <f>IF($A81="","",WEEKNUM($A81,21))</f>
        <v/>
      </c>
      <c r="C81" s="42">
        <f>IF($A81="","",CHOOSE(WEEKDAY($A81),"일","월","화","수","목","금","토"))</f>
        <v/>
      </c>
      <c r="D81" s="42" t="inlineStr">
        <is>
          <t>2호기</t>
        </is>
      </c>
      <c r="E81" s="43" t="n"/>
      <c r="F81" s="43" t="n"/>
      <c r="G81" s="44">
        <f>IF(OR($D81="",$E81=""),"",INDEX('1.기준정보'!$C$22:$H$28,MATCH($D81,'1.기준정보'!$A$22:$A$28,0),MATCH($E81,'1.기준정보'!$C$21:$H$21,0)))</f>
        <v/>
      </c>
      <c r="H81" s="43" t="n"/>
      <c r="I81" s="43" t="n"/>
      <c r="J81" s="45">
        <f>IF(OR($G81="",$G81=0,$I81=""),"",$I81/$G81)</f>
        <v/>
      </c>
      <c r="K81" s="43" t="n"/>
      <c r="L81" s="43" t="n"/>
      <c r="M81" s="43" t="n"/>
      <c r="N81" s="43" t="n"/>
      <c r="O81" s="42">
        <f>IF($N81="","",IFERROR(INDEX('1.기준정보'!$B$44:$B$55,MATCH($N81,'1.기준정보'!$A$44:$A$55,0)),"미정"))</f>
        <v/>
      </c>
      <c r="P81" s="46">
        <f>IF(OR($M81="",$K81=""),"",$M81*$K81)</f>
        <v/>
      </c>
      <c r="Q81" s="44">
        <f>IF($P81="","",$P81*'1.기준정보'!$B$5)</f>
        <v/>
      </c>
      <c r="R81" s="47" t="n"/>
    </row>
    <row r="82">
      <c r="A82" s="40" t="n">
        <v>46263</v>
      </c>
      <c r="B82" s="41">
        <f>IF($A82="","",WEEKNUM($A82,21))</f>
        <v/>
      </c>
      <c r="C82" s="42">
        <f>IF($A82="","",CHOOSE(WEEKDAY($A82),"일","월","화","수","목","금","토"))</f>
        <v/>
      </c>
      <c r="D82" s="42" t="inlineStr">
        <is>
          <t>3호기</t>
        </is>
      </c>
      <c r="E82" s="43" t="n"/>
      <c r="F82" s="43" t="n"/>
      <c r="G82" s="44">
        <f>IF(OR($D82="",$E82=""),"",INDEX('1.기준정보'!$C$22:$H$28,MATCH($D82,'1.기준정보'!$A$22:$A$28,0),MATCH($E82,'1.기준정보'!$C$21:$H$21,0)))</f>
        <v/>
      </c>
      <c r="H82" s="43" t="n"/>
      <c r="I82" s="43" t="n"/>
      <c r="J82" s="45">
        <f>IF(OR($G82="",$G82=0,$I82=""),"",$I82/$G82)</f>
        <v/>
      </c>
      <c r="K82" s="43" t="n"/>
      <c r="L82" s="43" t="n"/>
      <c r="M82" s="43" t="n"/>
      <c r="N82" s="43" t="n"/>
      <c r="O82" s="42">
        <f>IF($N82="","",IFERROR(INDEX('1.기준정보'!$B$44:$B$55,MATCH($N82,'1.기준정보'!$A$44:$A$55,0)),"미정"))</f>
        <v/>
      </c>
      <c r="P82" s="46">
        <f>IF(OR($M82="",$K82=""),"",$M82*$K82)</f>
        <v/>
      </c>
      <c r="Q82" s="44">
        <f>IF($P82="","",$P82*'1.기준정보'!$B$5)</f>
        <v/>
      </c>
      <c r="R82" s="47" t="n"/>
    </row>
    <row r="83">
      <c r="A83" s="40" t="n">
        <v>46263</v>
      </c>
      <c r="B83" s="41">
        <f>IF($A83="","",WEEKNUM($A83,21))</f>
        <v/>
      </c>
      <c r="C83" s="42">
        <f>IF($A83="","",CHOOSE(WEEKDAY($A83),"일","월","화","수","목","금","토"))</f>
        <v/>
      </c>
      <c r="D83" s="42" t="inlineStr">
        <is>
          <t>4호기</t>
        </is>
      </c>
      <c r="E83" s="43" t="n"/>
      <c r="F83" s="43" t="n"/>
      <c r="G83" s="44">
        <f>IF(OR($D83="",$E83=""),"",INDEX('1.기준정보'!$C$22:$H$28,MATCH($D83,'1.기준정보'!$A$22:$A$28,0),MATCH($E83,'1.기준정보'!$C$21:$H$21,0)))</f>
        <v/>
      </c>
      <c r="H83" s="43" t="n"/>
      <c r="I83" s="43" t="n"/>
      <c r="J83" s="45">
        <f>IF(OR($G83="",$G83=0,$I83=""),"",$I83/$G83)</f>
        <v/>
      </c>
      <c r="K83" s="43" t="n"/>
      <c r="L83" s="43" t="n"/>
      <c r="M83" s="43" t="n"/>
      <c r="N83" s="43" t="n"/>
      <c r="O83" s="42">
        <f>IF($N83="","",IFERROR(INDEX('1.기준정보'!$B$44:$B$55,MATCH($N83,'1.기준정보'!$A$44:$A$55,0)),"미정"))</f>
        <v/>
      </c>
      <c r="P83" s="46">
        <f>IF(OR($M83="",$K83=""),"",$M83*$K83)</f>
        <v/>
      </c>
      <c r="Q83" s="44">
        <f>IF($P83="","",$P83*'1.기준정보'!$B$5)</f>
        <v/>
      </c>
      <c r="R83" s="47" t="n"/>
    </row>
    <row r="84">
      <c r="A84" s="40" t="n">
        <v>46263</v>
      </c>
      <c r="B84" s="41">
        <f>IF($A84="","",WEEKNUM($A84,21))</f>
        <v/>
      </c>
      <c r="C84" s="42">
        <f>IF($A84="","",CHOOSE(WEEKDAY($A84),"일","월","화","수","목","금","토"))</f>
        <v/>
      </c>
      <c r="D84" s="42" t="inlineStr">
        <is>
          <t>5호기</t>
        </is>
      </c>
      <c r="E84" s="43" t="n"/>
      <c r="F84" s="43" t="n"/>
      <c r="G84" s="44">
        <f>IF(OR($D84="",$E84=""),"",INDEX('1.기준정보'!$C$22:$H$28,MATCH($D84,'1.기준정보'!$A$22:$A$28,0),MATCH($E84,'1.기준정보'!$C$21:$H$21,0)))</f>
        <v/>
      </c>
      <c r="H84" s="43" t="n"/>
      <c r="I84" s="43" t="n"/>
      <c r="J84" s="45">
        <f>IF(OR($G84="",$G84=0,$I84=""),"",$I84/$G84)</f>
        <v/>
      </c>
      <c r="K84" s="43" t="n"/>
      <c r="L84" s="43" t="n"/>
      <c r="M84" s="43" t="n"/>
      <c r="N84" s="43" t="n"/>
      <c r="O84" s="42">
        <f>IF($N84="","",IFERROR(INDEX('1.기준정보'!$B$44:$B$55,MATCH($N84,'1.기준정보'!$A$44:$A$55,0)),"미정"))</f>
        <v/>
      </c>
      <c r="P84" s="46">
        <f>IF(OR($M84="",$K84=""),"",$M84*$K84)</f>
        <v/>
      </c>
      <c r="Q84" s="44">
        <f>IF($P84="","",$P84*'1.기준정보'!$B$5)</f>
        <v/>
      </c>
      <c r="R84" s="47" t="n"/>
    </row>
    <row r="85">
      <c r="A85" s="40" t="n">
        <v>46263</v>
      </c>
      <c r="B85" s="41">
        <f>IF($A85="","",WEEKNUM($A85,21))</f>
        <v/>
      </c>
      <c r="C85" s="42">
        <f>IF($A85="","",CHOOSE(WEEKDAY($A85),"일","월","화","수","목","금","토"))</f>
        <v/>
      </c>
      <c r="D85" s="42" t="inlineStr">
        <is>
          <t>6호기</t>
        </is>
      </c>
      <c r="E85" s="43" t="n"/>
      <c r="F85" s="43" t="n"/>
      <c r="G85" s="44">
        <f>IF(OR($D85="",$E85=""),"",INDEX('1.기준정보'!$C$22:$H$28,MATCH($D85,'1.기준정보'!$A$22:$A$28,0),MATCH($E85,'1.기준정보'!$C$21:$H$21,0)))</f>
        <v/>
      </c>
      <c r="H85" s="43" t="n"/>
      <c r="I85" s="43" t="n"/>
      <c r="J85" s="45">
        <f>IF(OR($G85="",$G85=0,$I85=""),"",$I85/$G85)</f>
        <v/>
      </c>
      <c r="K85" s="43" t="n"/>
      <c r="L85" s="43" t="n"/>
      <c r="M85" s="43" t="n"/>
      <c r="N85" s="43" t="n"/>
      <c r="O85" s="42">
        <f>IF($N85="","",IFERROR(INDEX('1.기준정보'!$B$44:$B$55,MATCH($N85,'1.기준정보'!$A$44:$A$55,0)),"미정"))</f>
        <v/>
      </c>
      <c r="P85" s="46">
        <f>IF(OR($M85="",$K85=""),"",$M85*$K85)</f>
        <v/>
      </c>
      <c r="Q85" s="44">
        <f>IF($P85="","",$P85*'1.기준정보'!$B$5)</f>
        <v/>
      </c>
      <c r="R85" s="47" t="n"/>
    </row>
    <row r="86">
      <c r="A86" s="40" t="n">
        <v>46263</v>
      </c>
      <c r="B86" s="41">
        <f>IF($A86="","",WEEKNUM($A86,21))</f>
        <v/>
      </c>
      <c r="C86" s="42">
        <f>IF($A86="","",CHOOSE(WEEKDAY($A86),"일","월","화","수","목","금","토"))</f>
        <v/>
      </c>
      <c r="D86" s="42" t="inlineStr">
        <is>
          <t>7호기</t>
        </is>
      </c>
      <c r="E86" s="43" t="n"/>
      <c r="F86" s="43" t="n"/>
      <c r="G86" s="44">
        <f>IF(OR($D86="",$E86=""),"",INDEX('1.기준정보'!$C$22:$H$28,MATCH($D86,'1.기준정보'!$A$22:$A$28,0),MATCH($E86,'1.기준정보'!$C$21:$H$21,0)))</f>
        <v/>
      </c>
      <c r="H86" s="43" t="n"/>
      <c r="I86" s="43" t="n"/>
      <c r="J86" s="45">
        <f>IF(OR($G86="",$G86=0,$I86=""),"",$I86/$G86)</f>
        <v/>
      </c>
      <c r="K86" s="43" t="n"/>
      <c r="L86" s="43" t="n"/>
      <c r="M86" s="43" t="n"/>
      <c r="N86" s="43" t="n"/>
      <c r="O86" s="42">
        <f>IF($N86="","",IFERROR(INDEX('1.기준정보'!$B$44:$B$55,MATCH($N86,'1.기준정보'!$A$44:$A$55,0)),"미정"))</f>
        <v/>
      </c>
      <c r="P86" s="46">
        <f>IF(OR($M86="",$K86=""),"",$M86*$K86)</f>
        <v/>
      </c>
      <c r="Q86" s="44">
        <f>IF($P86="","",$P86*'1.기준정보'!$B$5)</f>
        <v/>
      </c>
      <c r="R86" s="47" t="n"/>
    </row>
    <row r="87">
      <c r="A87" s="40" t="n">
        <v>46263</v>
      </c>
      <c r="B87" s="41">
        <f>IF($A87="","",WEEKNUM($A87,21))</f>
        <v/>
      </c>
      <c r="C87" s="42">
        <f>IF($A87="","",CHOOSE(WEEKDAY($A87),"일","월","화","수","목","금","토"))</f>
        <v/>
      </c>
      <c r="D87" s="42" t="inlineStr">
        <is>
          <t>8호기</t>
        </is>
      </c>
      <c r="E87" s="43" t="n"/>
      <c r="F87" s="43" t="n"/>
      <c r="G87" s="44">
        <f>IF(OR($D87="",$E87=""),"",INDEX('1.기준정보'!$C$22:$H$28,MATCH($D87,'1.기준정보'!$A$22:$A$28,0),MATCH($E87,'1.기준정보'!$C$21:$H$21,0)))</f>
        <v/>
      </c>
      <c r="H87" s="43" t="n"/>
      <c r="I87" s="43" t="n"/>
      <c r="J87" s="45">
        <f>IF(OR($G87="",$G87=0,$I87=""),"",$I87/$G87)</f>
        <v/>
      </c>
      <c r="K87" s="43" t="n"/>
      <c r="L87" s="43" t="n"/>
      <c r="M87" s="43" t="n"/>
      <c r="N87" s="43" t="n"/>
      <c r="O87" s="42">
        <f>IF($N87="","",IFERROR(INDEX('1.기준정보'!$B$44:$B$55,MATCH($N87,'1.기준정보'!$A$44:$A$55,0)),"미정"))</f>
        <v/>
      </c>
      <c r="P87" s="46">
        <f>IF(OR($M87="",$K87=""),"",$M87*$K87)</f>
        <v/>
      </c>
      <c r="Q87" s="44">
        <f>IF($P87="","",$P87*'1.기준정보'!$B$5)</f>
        <v/>
      </c>
      <c r="R87" s="47" t="n"/>
    </row>
    <row r="89">
      <c r="A89" s="8" t="inlineStr">
        <is>
          <t>합계</t>
        </is>
      </c>
      <c r="G89" s="9">
        <f>SUM(G4:G87)</f>
        <v/>
      </c>
      <c r="H89" s="9">
        <f>SUM(H4:H87)</f>
        <v/>
      </c>
      <c r="I89" s="9">
        <f>SUM(I4:I87)</f>
        <v/>
      </c>
      <c r="M89" s="9">
        <f>SUM(M4:M87)</f>
        <v/>
      </c>
      <c r="P89" s="9">
        <f>SUM(P4:P87)</f>
        <v/>
      </c>
      <c r="Q89" s="9">
        <f>SUM(Q4:Q87)</f>
        <v/>
      </c>
    </row>
  </sheetData>
  <autoFilter ref="A3:R87"/>
  <mergeCells count="1">
    <mergeCell ref="A1:R1"/>
  </mergeCells>
  <dataValidations count="2">
    <dataValidation sqref="E4:F87" showDropDown="0" showInputMessage="0" showErrorMessage="0" allowBlank="1" error="목록에서 선택하십시오." type="list">
      <formula1>"미가동,1교대,1교대+잔업,주간2교대,주간2교대+잔업,특근"</formula1>
    </dataValidation>
    <dataValidation sqref="N4:N87" showDropDown="0" showInputMessage="0" showErrorMessage="0" allowBlank="1" type="list">
      <formula1>'1.기준정보'!$A$44:$A$55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7" customWidth="1" min="3" max="3"/>
    <col width="16" customWidth="1" min="4" max="4"/>
    <col width="15" customWidth="1" min="5" max="5"/>
    <col width="60" customWidth="1" min="6" max="6"/>
    <col width="14" customWidth="1" min="7" max="7"/>
    <col width="14" customWidth="1" min="8" max="8"/>
  </cols>
  <sheetData>
    <row r="1" ht="26" customHeight="1">
      <c r="A1" s="1" t="inlineStr">
        <is>
          <t>비가동 사유별 · 귀책별 LOSS 집계</t>
        </is>
      </c>
    </row>
    <row r="2">
      <c r="A2" s="2" t="inlineStr">
        <is>
          <t>전 항목 자동 계산. [2.일별대조] 입력에 연동됩니다.</t>
        </is>
      </c>
    </row>
    <row r="4" ht="20" customHeight="1">
      <c r="A4" s="3" t="inlineStr">
        <is>
          <t>① 사유별 집계</t>
        </is>
      </c>
    </row>
    <row r="5" ht="32" customHeight="1">
      <c r="A5" s="4" t="inlineStr">
        <is>
          <t>비가동 사유</t>
        </is>
      </c>
      <c r="B5" s="4" t="inlineStr">
        <is>
          <t>귀책</t>
        </is>
      </c>
      <c r="C5" s="4" t="inlineStr">
        <is>
          <t>비가동시간(H)</t>
        </is>
      </c>
      <c r="D5" s="4" t="inlineStr">
        <is>
          <t>LOSS공수(M·H)</t>
        </is>
      </c>
      <c r="E5" s="4" t="inlineStr">
        <is>
          <t>LOSS금액(원)</t>
        </is>
      </c>
      <c r="F5" s="4" t="inlineStr">
        <is>
          <t>건수</t>
        </is>
      </c>
      <c r="G5" s="4" t="inlineStr">
        <is>
          <t>구성비(공수)</t>
        </is>
      </c>
    </row>
    <row r="6">
      <c r="A6" s="20">
        <f>'1.기준정보'!$A$44</f>
        <v/>
      </c>
      <c r="B6" s="19">
        <f>'1.기준정보'!$B$44</f>
        <v/>
      </c>
      <c r="C6" s="48">
        <f>SUMIFS('2.일별대조'!$M$4:$M$87,'2.일별대조'!$N$4:$N$87,$A6)</f>
        <v/>
      </c>
      <c r="D6" s="48">
        <f>SUMIFS('2.일별대조'!$P$4:$P$87,'2.일별대조'!$N$4:$N$87,$A6)</f>
        <v/>
      </c>
      <c r="E6" s="12">
        <f>SUMIFS('2.일별대조'!$Q$4:$Q$87,'2.일별대조'!$N$4:$N$87,$A6)</f>
        <v/>
      </c>
      <c r="F6" s="12">
        <f>COUNTIFS('2.일별대조'!$N$4:$N$87,$A6)</f>
        <v/>
      </c>
      <c r="G6" s="49">
        <f>IF($D$18=0,0,$D6/$D$18)</f>
        <v/>
      </c>
    </row>
    <row r="7">
      <c r="A7" s="20">
        <f>'1.기준정보'!$A$45</f>
        <v/>
      </c>
      <c r="B7" s="19">
        <f>'1.기준정보'!$B$45</f>
        <v/>
      </c>
      <c r="C7" s="48">
        <f>SUMIFS('2.일별대조'!$M$4:$M$87,'2.일별대조'!$N$4:$N$87,$A7)</f>
        <v/>
      </c>
      <c r="D7" s="48">
        <f>SUMIFS('2.일별대조'!$P$4:$P$87,'2.일별대조'!$N$4:$N$87,$A7)</f>
        <v/>
      </c>
      <c r="E7" s="12">
        <f>SUMIFS('2.일별대조'!$Q$4:$Q$87,'2.일별대조'!$N$4:$N$87,$A7)</f>
        <v/>
      </c>
      <c r="F7" s="12">
        <f>COUNTIFS('2.일별대조'!$N$4:$N$87,$A7)</f>
        <v/>
      </c>
      <c r="G7" s="49">
        <f>IF($D$18=0,0,$D7/$D$18)</f>
        <v/>
      </c>
    </row>
    <row r="8">
      <c r="A8" s="20">
        <f>'1.기준정보'!$A$46</f>
        <v/>
      </c>
      <c r="B8" s="19">
        <f>'1.기준정보'!$B$46</f>
        <v/>
      </c>
      <c r="C8" s="48">
        <f>SUMIFS('2.일별대조'!$M$4:$M$87,'2.일별대조'!$N$4:$N$87,$A8)</f>
        <v/>
      </c>
      <c r="D8" s="48">
        <f>SUMIFS('2.일별대조'!$P$4:$P$87,'2.일별대조'!$N$4:$N$87,$A8)</f>
        <v/>
      </c>
      <c r="E8" s="12">
        <f>SUMIFS('2.일별대조'!$Q$4:$Q$87,'2.일별대조'!$N$4:$N$87,$A8)</f>
        <v/>
      </c>
      <c r="F8" s="12">
        <f>COUNTIFS('2.일별대조'!$N$4:$N$87,$A8)</f>
        <v/>
      </c>
      <c r="G8" s="49">
        <f>IF($D$18=0,0,$D8/$D$18)</f>
        <v/>
      </c>
    </row>
    <row r="9">
      <c r="A9" s="20">
        <f>'1.기준정보'!$A$47</f>
        <v/>
      </c>
      <c r="B9" s="19">
        <f>'1.기준정보'!$B$47</f>
        <v/>
      </c>
      <c r="C9" s="48">
        <f>SUMIFS('2.일별대조'!$M$4:$M$87,'2.일별대조'!$N$4:$N$87,$A9)</f>
        <v/>
      </c>
      <c r="D9" s="48">
        <f>SUMIFS('2.일별대조'!$P$4:$P$87,'2.일별대조'!$N$4:$N$87,$A9)</f>
        <v/>
      </c>
      <c r="E9" s="12">
        <f>SUMIFS('2.일별대조'!$Q$4:$Q$87,'2.일별대조'!$N$4:$N$87,$A9)</f>
        <v/>
      </c>
      <c r="F9" s="12">
        <f>COUNTIFS('2.일별대조'!$N$4:$N$87,$A9)</f>
        <v/>
      </c>
      <c r="G9" s="49">
        <f>IF($D$18=0,0,$D9/$D$18)</f>
        <v/>
      </c>
    </row>
    <row r="10">
      <c r="A10" s="20">
        <f>'1.기준정보'!$A$48</f>
        <v/>
      </c>
      <c r="B10" s="19">
        <f>'1.기준정보'!$B$48</f>
        <v/>
      </c>
      <c r="C10" s="48">
        <f>SUMIFS('2.일별대조'!$M$4:$M$87,'2.일별대조'!$N$4:$N$87,$A10)</f>
        <v/>
      </c>
      <c r="D10" s="48">
        <f>SUMIFS('2.일별대조'!$P$4:$P$87,'2.일별대조'!$N$4:$N$87,$A10)</f>
        <v/>
      </c>
      <c r="E10" s="12">
        <f>SUMIFS('2.일별대조'!$Q$4:$Q$87,'2.일별대조'!$N$4:$N$87,$A10)</f>
        <v/>
      </c>
      <c r="F10" s="12">
        <f>COUNTIFS('2.일별대조'!$N$4:$N$87,$A10)</f>
        <v/>
      </c>
      <c r="G10" s="49">
        <f>IF($D$18=0,0,$D10/$D$18)</f>
        <v/>
      </c>
    </row>
    <row r="11">
      <c r="A11" s="20">
        <f>'1.기준정보'!$A$49</f>
        <v/>
      </c>
      <c r="B11" s="19">
        <f>'1.기준정보'!$B$49</f>
        <v/>
      </c>
      <c r="C11" s="48">
        <f>SUMIFS('2.일별대조'!$M$4:$M$87,'2.일별대조'!$N$4:$N$87,$A11)</f>
        <v/>
      </c>
      <c r="D11" s="48">
        <f>SUMIFS('2.일별대조'!$P$4:$P$87,'2.일별대조'!$N$4:$N$87,$A11)</f>
        <v/>
      </c>
      <c r="E11" s="12">
        <f>SUMIFS('2.일별대조'!$Q$4:$Q$87,'2.일별대조'!$N$4:$N$87,$A11)</f>
        <v/>
      </c>
      <c r="F11" s="12">
        <f>COUNTIFS('2.일별대조'!$N$4:$N$87,$A11)</f>
        <v/>
      </c>
      <c r="G11" s="49">
        <f>IF($D$18=0,0,$D11/$D$18)</f>
        <v/>
      </c>
    </row>
    <row r="12">
      <c r="A12" s="20">
        <f>'1.기준정보'!$A$50</f>
        <v/>
      </c>
      <c r="B12" s="19">
        <f>'1.기준정보'!$B$50</f>
        <v/>
      </c>
      <c r="C12" s="48">
        <f>SUMIFS('2.일별대조'!$M$4:$M$87,'2.일별대조'!$N$4:$N$87,$A12)</f>
        <v/>
      </c>
      <c r="D12" s="48">
        <f>SUMIFS('2.일별대조'!$P$4:$P$87,'2.일별대조'!$N$4:$N$87,$A12)</f>
        <v/>
      </c>
      <c r="E12" s="12">
        <f>SUMIFS('2.일별대조'!$Q$4:$Q$87,'2.일별대조'!$N$4:$N$87,$A12)</f>
        <v/>
      </c>
      <c r="F12" s="12">
        <f>COUNTIFS('2.일별대조'!$N$4:$N$87,$A12)</f>
        <v/>
      </c>
      <c r="G12" s="49">
        <f>IF($D$18=0,0,$D12/$D$18)</f>
        <v/>
      </c>
    </row>
    <row r="13">
      <c r="A13" s="20">
        <f>'1.기준정보'!$A$51</f>
        <v/>
      </c>
      <c r="B13" s="19">
        <f>'1.기준정보'!$B$51</f>
        <v/>
      </c>
      <c r="C13" s="48">
        <f>SUMIFS('2.일별대조'!$M$4:$M$87,'2.일별대조'!$N$4:$N$87,$A13)</f>
        <v/>
      </c>
      <c r="D13" s="48">
        <f>SUMIFS('2.일별대조'!$P$4:$P$87,'2.일별대조'!$N$4:$N$87,$A13)</f>
        <v/>
      </c>
      <c r="E13" s="12">
        <f>SUMIFS('2.일별대조'!$Q$4:$Q$87,'2.일별대조'!$N$4:$N$87,$A13)</f>
        <v/>
      </c>
      <c r="F13" s="12">
        <f>COUNTIFS('2.일별대조'!$N$4:$N$87,$A13)</f>
        <v/>
      </c>
      <c r="G13" s="49">
        <f>IF($D$18=0,0,$D13/$D$18)</f>
        <v/>
      </c>
    </row>
    <row r="14">
      <c r="A14" s="20">
        <f>'1.기준정보'!$A$52</f>
        <v/>
      </c>
      <c r="B14" s="19">
        <f>'1.기준정보'!$B$52</f>
        <v/>
      </c>
      <c r="C14" s="48">
        <f>SUMIFS('2.일별대조'!$M$4:$M$87,'2.일별대조'!$N$4:$N$87,$A14)</f>
        <v/>
      </c>
      <c r="D14" s="48">
        <f>SUMIFS('2.일별대조'!$P$4:$P$87,'2.일별대조'!$N$4:$N$87,$A14)</f>
        <v/>
      </c>
      <c r="E14" s="12">
        <f>SUMIFS('2.일별대조'!$Q$4:$Q$87,'2.일별대조'!$N$4:$N$87,$A14)</f>
        <v/>
      </c>
      <c r="F14" s="12">
        <f>COUNTIFS('2.일별대조'!$N$4:$N$87,$A14)</f>
        <v/>
      </c>
      <c r="G14" s="49">
        <f>IF($D$18=0,0,$D14/$D$18)</f>
        <v/>
      </c>
    </row>
    <row r="15">
      <c r="A15" s="20">
        <f>'1.기준정보'!$A$53</f>
        <v/>
      </c>
      <c r="B15" s="19">
        <f>'1.기준정보'!$B$53</f>
        <v/>
      </c>
      <c r="C15" s="48">
        <f>SUMIFS('2.일별대조'!$M$4:$M$87,'2.일별대조'!$N$4:$N$87,$A15)</f>
        <v/>
      </c>
      <c r="D15" s="48">
        <f>SUMIFS('2.일별대조'!$P$4:$P$87,'2.일별대조'!$N$4:$N$87,$A15)</f>
        <v/>
      </c>
      <c r="E15" s="12">
        <f>SUMIFS('2.일별대조'!$Q$4:$Q$87,'2.일별대조'!$N$4:$N$87,$A15)</f>
        <v/>
      </c>
      <c r="F15" s="12">
        <f>COUNTIFS('2.일별대조'!$N$4:$N$87,$A15)</f>
        <v/>
      </c>
      <c r="G15" s="49">
        <f>IF($D$18=0,0,$D15/$D$18)</f>
        <v/>
      </c>
    </row>
    <row r="16">
      <c r="A16" s="20">
        <f>'1.기준정보'!$A$54</f>
        <v/>
      </c>
      <c r="B16" s="19">
        <f>'1.기준정보'!$B$54</f>
        <v/>
      </c>
      <c r="C16" s="48">
        <f>SUMIFS('2.일별대조'!$M$4:$M$87,'2.일별대조'!$N$4:$N$87,$A16)</f>
        <v/>
      </c>
      <c r="D16" s="48">
        <f>SUMIFS('2.일별대조'!$P$4:$P$87,'2.일별대조'!$N$4:$N$87,$A16)</f>
        <v/>
      </c>
      <c r="E16" s="12">
        <f>SUMIFS('2.일별대조'!$Q$4:$Q$87,'2.일별대조'!$N$4:$N$87,$A16)</f>
        <v/>
      </c>
      <c r="F16" s="12">
        <f>COUNTIFS('2.일별대조'!$N$4:$N$87,$A16)</f>
        <v/>
      </c>
      <c r="G16" s="49">
        <f>IF($D$18=0,0,$D16/$D$18)</f>
        <v/>
      </c>
    </row>
    <row r="17">
      <c r="A17" s="20">
        <f>'1.기준정보'!$A$55</f>
        <v/>
      </c>
      <c r="B17" s="19">
        <f>'1.기준정보'!$B$55</f>
        <v/>
      </c>
      <c r="C17" s="48">
        <f>SUMIFS('2.일별대조'!$M$4:$M$87,'2.일별대조'!$N$4:$N$87,$A17)</f>
        <v/>
      </c>
      <c r="D17" s="48">
        <f>SUMIFS('2.일별대조'!$P$4:$P$87,'2.일별대조'!$N$4:$N$87,$A17)</f>
        <v/>
      </c>
      <c r="E17" s="12">
        <f>SUMIFS('2.일별대조'!$Q$4:$Q$87,'2.일별대조'!$N$4:$N$87,$A17)</f>
        <v/>
      </c>
      <c r="F17" s="12">
        <f>COUNTIFS('2.일별대조'!$N$4:$N$87,$A17)</f>
        <v/>
      </c>
      <c r="G17" s="49">
        <f>IF($D$18=0,0,$D17/$D$18)</f>
        <v/>
      </c>
    </row>
    <row r="18">
      <c r="A18" s="8" t="inlineStr">
        <is>
          <t>합계</t>
        </is>
      </c>
      <c r="B18" s="50" t="n"/>
      <c r="C18" s="16">
        <f>SUM(C6:C17)</f>
        <v/>
      </c>
      <c r="D18" s="9">
        <f>SUM(D6:D17)</f>
        <v/>
      </c>
      <c r="E18" s="9">
        <f>SUM(E6:E17)</f>
        <v/>
      </c>
      <c r="F18" s="9">
        <f>SUM(F6:F17)</f>
        <v/>
      </c>
      <c r="G18" s="50" t="n"/>
    </row>
    <row r="20" ht="20" customHeight="1">
      <c r="A20" s="3" t="inlineStr">
        <is>
          <t>② 귀책별 집계 — 협상·정산 근거</t>
        </is>
      </c>
    </row>
    <row r="21" ht="32" customHeight="1">
      <c r="A21" s="4" t="inlineStr">
        <is>
          <t>귀책</t>
        </is>
      </c>
      <c r="B21" s="4" t="inlineStr">
        <is>
          <t>비가동시간(H)</t>
        </is>
      </c>
      <c r="C21" s="4" t="inlineStr">
        <is>
          <t>LOSS공수(M·H)</t>
        </is>
      </c>
      <c r="D21" s="4" t="inlineStr">
        <is>
          <t>LOSS금액(원)</t>
        </is>
      </c>
      <c r="E21" s="4" t="inlineStr">
        <is>
          <t>구성비(공수)</t>
        </is>
      </c>
      <c r="F21" s="4" t="inlineStr">
        <is>
          <t>해석</t>
        </is>
      </c>
    </row>
    <row r="22">
      <c r="A22" s="11" t="inlineStr">
        <is>
          <t>원청</t>
        </is>
      </c>
      <c r="B22" s="48">
        <f>SUMIFS('2.일별대조'!$M$4:$M$87,'2.일별대조'!$O$4:$O$87,$A22)</f>
        <v/>
      </c>
      <c r="C22" s="48">
        <f>SUMIFS('2.일별대조'!$P$4:$P$87,'2.일별대조'!$O$4:$O$87,$A22)</f>
        <v/>
      </c>
      <c r="D22" s="12">
        <f>SUMIFS('2.일별대조'!$Q$4:$Q$87,'2.일별대조'!$O$4:$O$87,$A22)</f>
        <v/>
      </c>
      <c r="E22" s="49">
        <f>IF($C$26=0,0,$C22/$C$26)</f>
        <v/>
      </c>
      <c r="F22" s="13" t="inlineStr">
        <is>
          <t>AP 귀책 → 정산 청구 가능 (BY26 AP 귀책 LOSS 52% 실적 준용)</t>
        </is>
      </c>
    </row>
    <row r="23">
      <c r="A23" s="11" t="inlineStr">
        <is>
          <t>도급</t>
        </is>
      </c>
      <c r="B23" s="48">
        <f>SUMIFS('2.일별대조'!$M$4:$M$87,'2.일별대조'!$O$4:$O$87,$A23)</f>
        <v/>
      </c>
      <c r="C23" s="48">
        <f>SUMIFS('2.일별대조'!$P$4:$P$87,'2.일별대조'!$O$4:$O$87,$A23)</f>
        <v/>
      </c>
      <c r="D23" s="12">
        <f>SUMIFS('2.일별대조'!$Q$4:$Q$87,'2.일별대조'!$O$4:$O$87,$A23)</f>
        <v/>
      </c>
      <c r="E23" s="49">
        <f>IF($C$26=0,0,$C23/$C$26)</f>
        <v/>
      </c>
      <c r="F23" s="13" t="inlineStr">
        <is>
          <t>제니엘 귀책 → 자체 개선 대상. 협상에서 방어 불가</t>
        </is>
      </c>
    </row>
    <row r="24">
      <c r="A24" s="11" t="inlineStr">
        <is>
          <t>공통</t>
        </is>
      </c>
      <c r="B24" s="48">
        <f>SUMIFS('2.일별대조'!$M$4:$M$87,'2.일별대조'!$O$4:$O$87,$A24)</f>
        <v/>
      </c>
      <c r="C24" s="48">
        <f>SUMIFS('2.일별대조'!$P$4:$P$87,'2.일별대조'!$O$4:$O$87,$A24)</f>
        <v/>
      </c>
      <c r="D24" s="12">
        <f>SUMIFS('2.일별대조'!$Q$4:$Q$87,'2.일별대조'!$O$4:$O$87,$A24)</f>
        <v/>
      </c>
      <c r="E24" s="49">
        <f>IF($C$26=0,0,$C24/$C$26)</f>
        <v/>
      </c>
      <c r="F24" s="13" t="inlineStr">
        <is>
          <t>사유별 재분류 필요. 일괄 50:50 배분 금지</t>
        </is>
      </c>
    </row>
    <row r="25">
      <c r="A25" s="11" t="inlineStr">
        <is>
          <t>미정</t>
        </is>
      </c>
      <c r="B25" s="48">
        <f>SUMIFS('2.일별대조'!$M$4:$M$87,'2.일별대조'!$O$4:$O$87,$A25)</f>
        <v/>
      </c>
      <c r="C25" s="48">
        <f>SUMIFS('2.일별대조'!$P$4:$P$87,'2.일별대조'!$O$4:$O$87,$A25)</f>
        <v/>
      </c>
      <c r="D25" s="12">
        <f>SUMIFS('2.일별대조'!$Q$4:$Q$87,'2.일별대조'!$O$4:$O$87,$A25)</f>
        <v/>
      </c>
      <c r="E25" s="49">
        <f>IF($C$26=0,0,$C25/$C$26)</f>
        <v/>
      </c>
      <c r="F25" s="13" t="inlineStr">
        <is>
          <t>귀책 미확정 → AP 회신 전 반드시 0으로 해소</t>
        </is>
      </c>
    </row>
    <row r="26">
      <c r="A26" s="8" t="inlineStr">
        <is>
          <t>합계</t>
        </is>
      </c>
      <c r="B26" s="16">
        <f>SUM(B22:B25)</f>
        <v/>
      </c>
      <c r="C26" s="16">
        <f>SUM(C22:C25)</f>
        <v/>
      </c>
      <c r="D26" s="9">
        <f>SUM(D22:D25)</f>
        <v/>
      </c>
      <c r="E26" s="50" t="n"/>
      <c r="F26" s="50" t="n"/>
    </row>
  </sheetData>
  <mergeCells count="3">
    <mergeCell ref="A4:H4"/>
    <mergeCell ref="A20:H2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1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  <col width="15" customWidth="1" min="10" max="10"/>
    <col width="18" customWidth="1" min="11" max="11"/>
    <col width="34" customWidth="1" min="12" max="12"/>
  </cols>
  <sheetData>
    <row r="1" ht="26" customHeight="1">
      <c r="A1" s="1" t="inlineStr">
        <is>
          <t>포장재·부자재 결품 이력 (원청 귀책 LOSS 증빙)</t>
        </is>
      </c>
    </row>
    <row r="2">
      <c r="A2" s="2" t="inlineStr">
        <is>
          <t>이 시트가 비면 '포장재 때문'이라는 우리 주장은 성립하지 않습니다. 시(時) 단위로 기록하십시오.</t>
        </is>
      </c>
    </row>
    <row r="3" ht="32" customHeight="1">
      <c r="A3" s="4" t="inlineStr">
        <is>
          <t>일자</t>
        </is>
      </c>
      <c r="B3" s="4" t="inlineStr">
        <is>
          <t>품목코드</t>
        </is>
      </c>
      <c r="C3" s="4" t="inlineStr">
        <is>
          <t>품목명</t>
        </is>
      </c>
      <c r="D3" s="4" t="inlineStr">
        <is>
          <t>영향 호기</t>
        </is>
      </c>
      <c r="E3" s="4" t="inlineStr">
        <is>
          <t>결품 발생시각</t>
        </is>
      </c>
      <c r="F3" s="4" t="inlineStr">
        <is>
          <t>자재 입고시각</t>
        </is>
      </c>
      <c r="G3" s="4" t="inlineStr">
        <is>
          <t>라인 재가동시각</t>
        </is>
      </c>
      <c r="H3" s="4" t="inlineStr">
        <is>
          <t>비가동시간(H)</t>
        </is>
      </c>
      <c r="I3" s="4" t="inlineStr">
        <is>
          <t>투입인원(명)</t>
        </is>
      </c>
      <c r="J3" s="4" t="inlineStr">
        <is>
          <t>LOSS공수(M·H)</t>
        </is>
      </c>
      <c r="K3" s="4" t="inlineStr">
        <is>
          <t>미생산 추정수량(개)</t>
        </is>
      </c>
      <c r="L3" s="4" t="inlineStr">
        <is>
          <t>증빙(문서/사진)</t>
        </is>
      </c>
    </row>
    <row r="4">
      <c r="A4" s="33" t="n">
        <v>46252</v>
      </c>
      <c r="B4" s="35" t="inlineStr">
        <is>
          <t>PKG-TB-0142</t>
        </is>
      </c>
      <c r="C4" s="35" t="inlineStr">
        <is>
          <t>튜브 단상자 (예시)</t>
        </is>
      </c>
      <c r="D4" s="35" t="inlineStr">
        <is>
          <t>4호기</t>
        </is>
      </c>
      <c r="E4" s="51" t="n">
        <v>46252.39583333334</v>
      </c>
      <c r="F4" s="51" t="n">
        <v>46252.58333333334</v>
      </c>
      <c r="G4" s="51" t="n">
        <v>46252.60416666666</v>
      </c>
      <c r="H4" s="52">
        <f>IF(OR($E4="",$G4=""),"",ROUND(($G4-$E4)*24,2))</f>
        <v/>
      </c>
      <c r="I4" s="35" t="n">
        <v>12</v>
      </c>
      <c r="J4" s="38">
        <f>IF(OR($H4="",$I4=""),"",$H4*$I4)</f>
        <v/>
      </c>
      <c r="K4" s="36" t="n">
        <v>1750</v>
      </c>
      <c r="L4" s="53" t="inlineStr">
        <is>
          <t>◀ 예시행 — 실제 데이터로 덮어쓰기</t>
        </is>
      </c>
    </row>
    <row r="5">
      <c r="A5" s="54" t="n"/>
      <c r="B5" s="43" t="n"/>
      <c r="C5" s="43" t="n"/>
      <c r="D5" s="43" t="n"/>
      <c r="E5" s="55" t="n"/>
      <c r="F5" s="55" t="n"/>
      <c r="G5" s="55" t="n"/>
      <c r="H5" s="56">
        <f>IF(OR($E5="",$G5=""),"",ROUND(($G5-$E5)*24,2))</f>
        <v/>
      </c>
      <c r="I5" s="43" t="n"/>
      <c r="J5" s="46">
        <f>IF(OR($H5="",$I5=""),"",$H5*$I5)</f>
        <v/>
      </c>
      <c r="K5" s="57" t="n"/>
      <c r="L5" s="43" t="n"/>
    </row>
    <row r="6">
      <c r="A6" s="54" t="n"/>
      <c r="B6" s="43" t="n"/>
      <c r="C6" s="43" t="n"/>
      <c r="D6" s="43" t="n"/>
      <c r="E6" s="55" t="n"/>
      <c r="F6" s="55" t="n"/>
      <c r="G6" s="55" t="n"/>
      <c r="H6" s="56">
        <f>IF(OR($E6="",$G6=""),"",ROUND(($G6-$E6)*24,2))</f>
        <v/>
      </c>
      <c r="I6" s="43" t="n"/>
      <c r="J6" s="46">
        <f>IF(OR($H6="",$I6=""),"",$H6*$I6)</f>
        <v/>
      </c>
      <c r="K6" s="57" t="n"/>
      <c r="L6" s="43" t="n"/>
    </row>
    <row r="7">
      <c r="A7" s="54" t="n"/>
      <c r="B7" s="43" t="n"/>
      <c r="C7" s="43" t="n"/>
      <c r="D7" s="43" t="n"/>
      <c r="E7" s="55" t="n"/>
      <c r="F7" s="55" t="n"/>
      <c r="G7" s="55" t="n"/>
      <c r="H7" s="56">
        <f>IF(OR($E7="",$G7=""),"",ROUND(($G7-$E7)*24,2))</f>
        <v/>
      </c>
      <c r="I7" s="43" t="n"/>
      <c r="J7" s="46">
        <f>IF(OR($H7="",$I7=""),"",$H7*$I7)</f>
        <v/>
      </c>
      <c r="K7" s="57" t="n"/>
      <c r="L7" s="43" t="n"/>
    </row>
    <row r="8">
      <c r="A8" s="54" t="n"/>
      <c r="B8" s="43" t="n"/>
      <c r="C8" s="43" t="n"/>
      <c r="D8" s="43" t="n"/>
      <c r="E8" s="55" t="n"/>
      <c r="F8" s="55" t="n"/>
      <c r="G8" s="55" t="n"/>
      <c r="H8" s="56">
        <f>IF(OR($E8="",$G8=""),"",ROUND(($G8-$E8)*24,2))</f>
        <v/>
      </c>
      <c r="I8" s="43" t="n"/>
      <c r="J8" s="46">
        <f>IF(OR($H8="",$I8=""),"",$H8*$I8)</f>
        <v/>
      </c>
      <c r="K8" s="57" t="n"/>
      <c r="L8" s="43" t="n"/>
    </row>
    <row r="9">
      <c r="A9" s="54" t="n"/>
      <c r="B9" s="43" t="n"/>
      <c r="C9" s="43" t="n"/>
      <c r="D9" s="43" t="n"/>
      <c r="E9" s="55" t="n"/>
      <c r="F9" s="55" t="n"/>
      <c r="G9" s="55" t="n"/>
      <c r="H9" s="56">
        <f>IF(OR($E9="",$G9=""),"",ROUND(($G9-$E9)*24,2))</f>
        <v/>
      </c>
      <c r="I9" s="43" t="n"/>
      <c r="J9" s="46">
        <f>IF(OR($H9="",$I9=""),"",$H9*$I9)</f>
        <v/>
      </c>
      <c r="K9" s="57" t="n"/>
      <c r="L9" s="43" t="n"/>
    </row>
    <row r="10">
      <c r="A10" s="54" t="n"/>
      <c r="B10" s="43" t="n"/>
      <c r="C10" s="43" t="n"/>
      <c r="D10" s="43" t="n"/>
      <c r="E10" s="55" t="n"/>
      <c r="F10" s="55" t="n"/>
      <c r="G10" s="55" t="n"/>
      <c r="H10" s="56">
        <f>IF(OR($E10="",$G10=""),"",ROUND(($G10-$E10)*24,2))</f>
        <v/>
      </c>
      <c r="I10" s="43" t="n"/>
      <c r="J10" s="46">
        <f>IF(OR($H10="",$I10=""),"",$H10*$I10)</f>
        <v/>
      </c>
      <c r="K10" s="57" t="n"/>
      <c r="L10" s="43" t="n"/>
    </row>
    <row r="11">
      <c r="A11" s="54" t="n"/>
      <c r="B11" s="43" t="n"/>
      <c r="C11" s="43" t="n"/>
      <c r="D11" s="43" t="n"/>
      <c r="E11" s="55" t="n"/>
      <c r="F11" s="55" t="n"/>
      <c r="G11" s="55" t="n"/>
      <c r="H11" s="56">
        <f>IF(OR($E11="",$G11=""),"",ROUND(($G11-$E11)*24,2))</f>
        <v/>
      </c>
      <c r="I11" s="43" t="n"/>
      <c r="J11" s="46">
        <f>IF(OR($H11="",$I11=""),"",$H11*$I11)</f>
        <v/>
      </c>
      <c r="K11" s="57" t="n"/>
      <c r="L11" s="43" t="n"/>
    </row>
    <row r="12">
      <c r="A12" s="54" t="n"/>
      <c r="B12" s="43" t="n"/>
      <c r="C12" s="43" t="n"/>
      <c r="D12" s="43" t="n"/>
      <c r="E12" s="55" t="n"/>
      <c r="F12" s="55" t="n"/>
      <c r="G12" s="55" t="n"/>
      <c r="H12" s="56">
        <f>IF(OR($E12="",$G12=""),"",ROUND(($G12-$E12)*24,2))</f>
        <v/>
      </c>
      <c r="I12" s="43" t="n"/>
      <c r="J12" s="46">
        <f>IF(OR($H12="",$I12=""),"",$H12*$I12)</f>
        <v/>
      </c>
      <c r="K12" s="57" t="n"/>
      <c r="L12" s="43" t="n"/>
    </row>
    <row r="13">
      <c r="A13" s="54" t="n"/>
      <c r="B13" s="43" t="n"/>
      <c r="C13" s="43" t="n"/>
      <c r="D13" s="43" t="n"/>
      <c r="E13" s="55" t="n"/>
      <c r="F13" s="55" t="n"/>
      <c r="G13" s="55" t="n"/>
      <c r="H13" s="56">
        <f>IF(OR($E13="",$G13=""),"",ROUND(($G13-$E13)*24,2))</f>
        <v/>
      </c>
      <c r="I13" s="43" t="n"/>
      <c r="J13" s="46">
        <f>IF(OR($H13="",$I13=""),"",$H13*$I13)</f>
        <v/>
      </c>
      <c r="K13" s="57" t="n"/>
      <c r="L13" s="43" t="n"/>
    </row>
    <row r="14">
      <c r="A14" s="54" t="n"/>
      <c r="B14" s="43" t="n"/>
      <c r="C14" s="43" t="n"/>
      <c r="D14" s="43" t="n"/>
      <c r="E14" s="55" t="n"/>
      <c r="F14" s="55" t="n"/>
      <c r="G14" s="55" t="n"/>
      <c r="H14" s="56">
        <f>IF(OR($E14="",$G14=""),"",ROUND(($G14-$E14)*24,2))</f>
        <v/>
      </c>
      <c r="I14" s="43" t="n"/>
      <c r="J14" s="46">
        <f>IF(OR($H14="",$I14=""),"",$H14*$I14)</f>
        <v/>
      </c>
      <c r="K14" s="57" t="n"/>
      <c r="L14" s="43" t="n"/>
    </row>
    <row r="15">
      <c r="A15" s="54" t="n"/>
      <c r="B15" s="43" t="n"/>
      <c r="C15" s="43" t="n"/>
      <c r="D15" s="43" t="n"/>
      <c r="E15" s="55" t="n"/>
      <c r="F15" s="55" t="n"/>
      <c r="G15" s="55" t="n"/>
      <c r="H15" s="56">
        <f>IF(OR($E15="",$G15=""),"",ROUND(($G15-$E15)*24,2))</f>
        <v/>
      </c>
      <c r="I15" s="43" t="n"/>
      <c r="J15" s="46">
        <f>IF(OR($H15="",$I15=""),"",$H15*$I15)</f>
        <v/>
      </c>
      <c r="K15" s="57" t="n"/>
      <c r="L15" s="43" t="n"/>
    </row>
    <row r="16">
      <c r="A16" s="54" t="n"/>
      <c r="B16" s="43" t="n"/>
      <c r="C16" s="43" t="n"/>
      <c r="D16" s="43" t="n"/>
      <c r="E16" s="55" t="n"/>
      <c r="F16" s="55" t="n"/>
      <c r="G16" s="55" t="n"/>
      <c r="H16" s="56">
        <f>IF(OR($E16="",$G16=""),"",ROUND(($G16-$E16)*24,2))</f>
        <v/>
      </c>
      <c r="I16" s="43" t="n"/>
      <c r="J16" s="46">
        <f>IF(OR($H16="",$I16=""),"",$H16*$I16)</f>
        <v/>
      </c>
      <c r="K16" s="57" t="n"/>
      <c r="L16" s="43" t="n"/>
    </row>
    <row r="17">
      <c r="A17" s="54" t="n"/>
      <c r="B17" s="43" t="n"/>
      <c r="C17" s="43" t="n"/>
      <c r="D17" s="43" t="n"/>
      <c r="E17" s="55" t="n"/>
      <c r="F17" s="55" t="n"/>
      <c r="G17" s="55" t="n"/>
      <c r="H17" s="56">
        <f>IF(OR($E17="",$G17=""),"",ROUND(($G17-$E17)*24,2))</f>
        <v/>
      </c>
      <c r="I17" s="43" t="n"/>
      <c r="J17" s="46">
        <f>IF(OR($H17="",$I17=""),"",$H17*$I17)</f>
        <v/>
      </c>
      <c r="K17" s="57" t="n"/>
      <c r="L17" s="43" t="n"/>
    </row>
    <row r="18">
      <c r="A18" s="54" t="n"/>
      <c r="B18" s="43" t="n"/>
      <c r="C18" s="43" t="n"/>
      <c r="D18" s="43" t="n"/>
      <c r="E18" s="55" t="n"/>
      <c r="F18" s="55" t="n"/>
      <c r="G18" s="55" t="n"/>
      <c r="H18" s="56">
        <f>IF(OR($E18="",$G18=""),"",ROUND(($G18-$E18)*24,2))</f>
        <v/>
      </c>
      <c r="I18" s="43" t="n"/>
      <c r="J18" s="46">
        <f>IF(OR($H18="",$I18=""),"",$H18*$I18)</f>
        <v/>
      </c>
      <c r="K18" s="57" t="n"/>
      <c r="L18" s="43" t="n"/>
    </row>
    <row r="19">
      <c r="A19" s="54" t="n"/>
      <c r="B19" s="43" t="n"/>
      <c r="C19" s="43" t="n"/>
      <c r="D19" s="43" t="n"/>
      <c r="E19" s="55" t="n"/>
      <c r="F19" s="55" t="n"/>
      <c r="G19" s="55" t="n"/>
      <c r="H19" s="56">
        <f>IF(OR($E19="",$G19=""),"",ROUND(($G19-$E19)*24,2))</f>
        <v/>
      </c>
      <c r="I19" s="43" t="n"/>
      <c r="J19" s="46">
        <f>IF(OR($H19="",$I19=""),"",$H19*$I19)</f>
        <v/>
      </c>
      <c r="K19" s="57" t="n"/>
      <c r="L19" s="43" t="n"/>
    </row>
    <row r="20">
      <c r="A20" s="54" t="n"/>
      <c r="B20" s="43" t="n"/>
      <c r="C20" s="43" t="n"/>
      <c r="D20" s="43" t="n"/>
      <c r="E20" s="55" t="n"/>
      <c r="F20" s="55" t="n"/>
      <c r="G20" s="55" t="n"/>
      <c r="H20" s="56">
        <f>IF(OR($E20="",$G20=""),"",ROUND(($G20-$E20)*24,2))</f>
        <v/>
      </c>
      <c r="I20" s="43" t="n"/>
      <c r="J20" s="46">
        <f>IF(OR($H20="",$I20=""),"",$H20*$I20)</f>
        <v/>
      </c>
      <c r="K20" s="57" t="n"/>
      <c r="L20" s="43" t="n"/>
    </row>
    <row r="21">
      <c r="A21" s="54" t="n"/>
      <c r="B21" s="43" t="n"/>
      <c r="C21" s="43" t="n"/>
      <c r="D21" s="43" t="n"/>
      <c r="E21" s="55" t="n"/>
      <c r="F21" s="55" t="n"/>
      <c r="G21" s="55" t="n"/>
      <c r="H21" s="56">
        <f>IF(OR($E21="",$G21=""),"",ROUND(($G21-$E21)*24,2))</f>
        <v/>
      </c>
      <c r="I21" s="43" t="n"/>
      <c r="J21" s="46">
        <f>IF(OR($H21="",$I21=""),"",$H21*$I21)</f>
        <v/>
      </c>
      <c r="K21" s="57" t="n"/>
      <c r="L21" s="43" t="n"/>
    </row>
    <row r="22">
      <c r="A22" s="54" t="n"/>
      <c r="B22" s="43" t="n"/>
      <c r="C22" s="43" t="n"/>
      <c r="D22" s="43" t="n"/>
      <c r="E22" s="55" t="n"/>
      <c r="F22" s="55" t="n"/>
      <c r="G22" s="55" t="n"/>
      <c r="H22" s="56">
        <f>IF(OR($E22="",$G22=""),"",ROUND(($G22-$E22)*24,2))</f>
        <v/>
      </c>
      <c r="I22" s="43" t="n"/>
      <c r="J22" s="46">
        <f>IF(OR($H22="",$I22=""),"",$H22*$I22)</f>
        <v/>
      </c>
      <c r="K22" s="57" t="n"/>
      <c r="L22" s="43" t="n"/>
    </row>
    <row r="23">
      <c r="A23" s="54" t="n"/>
      <c r="B23" s="43" t="n"/>
      <c r="C23" s="43" t="n"/>
      <c r="D23" s="43" t="n"/>
      <c r="E23" s="55" t="n"/>
      <c r="F23" s="55" t="n"/>
      <c r="G23" s="55" t="n"/>
      <c r="H23" s="56">
        <f>IF(OR($E23="",$G23=""),"",ROUND(($G23-$E23)*24,2))</f>
        <v/>
      </c>
      <c r="I23" s="43" t="n"/>
      <c r="J23" s="46">
        <f>IF(OR($H23="",$I23=""),"",$H23*$I23)</f>
        <v/>
      </c>
      <c r="K23" s="57" t="n"/>
      <c r="L23" s="43" t="n"/>
    </row>
    <row r="24">
      <c r="A24" s="54" t="n"/>
      <c r="B24" s="43" t="n"/>
      <c r="C24" s="43" t="n"/>
      <c r="D24" s="43" t="n"/>
      <c r="E24" s="55" t="n"/>
      <c r="F24" s="55" t="n"/>
      <c r="G24" s="55" t="n"/>
      <c r="H24" s="56">
        <f>IF(OR($E24="",$G24=""),"",ROUND(($G24-$E24)*24,2))</f>
        <v/>
      </c>
      <c r="I24" s="43" t="n"/>
      <c r="J24" s="46">
        <f>IF(OR($H24="",$I24=""),"",$H24*$I24)</f>
        <v/>
      </c>
      <c r="K24" s="57" t="n"/>
      <c r="L24" s="43" t="n"/>
    </row>
    <row r="25">
      <c r="A25" s="54" t="n"/>
      <c r="B25" s="43" t="n"/>
      <c r="C25" s="43" t="n"/>
      <c r="D25" s="43" t="n"/>
      <c r="E25" s="55" t="n"/>
      <c r="F25" s="55" t="n"/>
      <c r="G25" s="55" t="n"/>
      <c r="H25" s="56">
        <f>IF(OR($E25="",$G25=""),"",ROUND(($G25-$E25)*24,2))</f>
        <v/>
      </c>
      <c r="I25" s="43" t="n"/>
      <c r="J25" s="46">
        <f>IF(OR($H25="",$I25=""),"",$H25*$I25)</f>
        <v/>
      </c>
      <c r="K25" s="57" t="n"/>
      <c r="L25" s="43" t="n"/>
    </row>
    <row r="26">
      <c r="A26" s="54" t="n"/>
      <c r="B26" s="43" t="n"/>
      <c r="C26" s="43" t="n"/>
      <c r="D26" s="43" t="n"/>
      <c r="E26" s="55" t="n"/>
      <c r="F26" s="55" t="n"/>
      <c r="G26" s="55" t="n"/>
      <c r="H26" s="56">
        <f>IF(OR($E26="",$G26=""),"",ROUND(($G26-$E26)*24,2))</f>
        <v/>
      </c>
      <c r="I26" s="43" t="n"/>
      <c r="J26" s="46">
        <f>IF(OR($H26="",$I26=""),"",$H26*$I26)</f>
        <v/>
      </c>
      <c r="K26" s="57" t="n"/>
      <c r="L26" s="43" t="n"/>
    </row>
    <row r="27">
      <c r="A27" s="54" t="n"/>
      <c r="B27" s="43" t="n"/>
      <c r="C27" s="43" t="n"/>
      <c r="D27" s="43" t="n"/>
      <c r="E27" s="55" t="n"/>
      <c r="F27" s="55" t="n"/>
      <c r="G27" s="55" t="n"/>
      <c r="H27" s="56">
        <f>IF(OR($E27="",$G27=""),"",ROUND(($G27-$E27)*24,2))</f>
        <v/>
      </c>
      <c r="I27" s="43" t="n"/>
      <c r="J27" s="46">
        <f>IF(OR($H27="",$I27=""),"",$H27*$I27)</f>
        <v/>
      </c>
      <c r="K27" s="57" t="n"/>
      <c r="L27" s="43" t="n"/>
    </row>
    <row r="28">
      <c r="A28" s="54" t="n"/>
      <c r="B28" s="43" t="n"/>
      <c r="C28" s="43" t="n"/>
      <c r="D28" s="43" t="n"/>
      <c r="E28" s="55" t="n"/>
      <c r="F28" s="55" t="n"/>
      <c r="G28" s="55" t="n"/>
      <c r="H28" s="56">
        <f>IF(OR($E28="",$G28=""),"",ROUND(($G28-$E28)*24,2))</f>
        <v/>
      </c>
      <c r="I28" s="43" t="n"/>
      <c r="J28" s="46">
        <f>IF(OR($H28="",$I28=""),"",$H28*$I28)</f>
        <v/>
      </c>
      <c r="K28" s="57" t="n"/>
      <c r="L28" s="43" t="n"/>
    </row>
    <row r="29">
      <c r="A29" s="54" t="n"/>
      <c r="B29" s="43" t="n"/>
      <c r="C29" s="43" t="n"/>
      <c r="D29" s="43" t="n"/>
      <c r="E29" s="55" t="n"/>
      <c r="F29" s="55" t="n"/>
      <c r="G29" s="55" t="n"/>
      <c r="H29" s="56">
        <f>IF(OR($E29="",$G29=""),"",ROUND(($G29-$E29)*24,2))</f>
        <v/>
      </c>
      <c r="I29" s="43" t="n"/>
      <c r="J29" s="46">
        <f>IF(OR($H29="",$I29=""),"",$H29*$I29)</f>
        <v/>
      </c>
      <c r="K29" s="57" t="n"/>
      <c r="L29" s="43" t="n"/>
    </row>
    <row r="30">
      <c r="A30" s="54" t="n"/>
      <c r="B30" s="43" t="n"/>
      <c r="C30" s="43" t="n"/>
      <c r="D30" s="43" t="n"/>
      <c r="E30" s="55" t="n"/>
      <c r="F30" s="55" t="n"/>
      <c r="G30" s="55" t="n"/>
      <c r="H30" s="56">
        <f>IF(OR($E30="",$G30=""),"",ROUND(($G30-$E30)*24,2))</f>
        <v/>
      </c>
      <c r="I30" s="43" t="n"/>
      <c r="J30" s="46">
        <f>IF(OR($H30="",$I30=""),"",$H30*$I30)</f>
        <v/>
      </c>
      <c r="K30" s="57" t="n"/>
      <c r="L30" s="43" t="n"/>
    </row>
    <row r="31">
      <c r="A31" s="54" t="n"/>
      <c r="B31" s="43" t="n"/>
      <c r="C31" s="43" t="n"/>
      <c r="D31" s="43" t="n"/>
      <c r="E31" s="55" t="n"/>
      <c r="F31" s="55" t="n"/>
      <c r="G31" s="55" t="n"/>
      <c r="H31" s="56">
        <f>IF(OR($E31="",$G31=""),"",ROUND(($G31-$E31)*24,2))</f>
        <v/>
      </c>
      <c r="I31" s="43" t="n"/>
      <c r="J31" s="46">
        <f>IF(OR($H31="",$I31=""),"",$H31*$I31)</f>
        <v/>
      </c>
      <c r="K31" s="57" t="n"/>
      <c r="L31" s="43" t="n"/>
    </row>
    <row r="32">
      <c r="A32" s="54" t="n"/>
      <c r="B32" s="43" t="n"/>
      <c r="C32" s="43" t="n"/>
      <c r="D32" s="43" t="n"/>
      <c r="E32" s="55" t="n"/>
      <c r="F32" s="55" t="n"/>
      <c r="G32" s="55" t="n"/>
      <c r="H32" s="56">
        <f>IF(OR($E32="",$G32=""),"",ROUND(($G32-$E32)*24,2))</f>
        <v/>
      </c>
      <c r="I32" s="43" t="n"/>
      <c r="J32" s="46">
        <f>IF(OR($H32="",$I32=""),"",$H32*$I32)</f>
        <v/>
      </c>
      <c r="K32" s="57" t="n"/>
      <c r="L32" s="43" t="n"/>
    </row>
    <row r="33">
      <c r="A33" s="54" t="n"/>
      <c r="B33" s="43" t="n"/>
      <c r="C33" s="43" t="n"/>
      <c r="D33" s="43" t="n"/>
      <c r="E33" s="55" t="n"/>
      <c r="F33" s="55" t="n"/>
      <c r="G33" s="55" t="n"/>
      <c r="H33" s="56">
        <f>IF(OR($E33="",$G33=""),"",ROUND(($G33-$E33)*24,2))</f>
        <v/>
      </c>
      <c r="I33" s="43" t="n"/>
      <c r="J33" s="46">
        <f>IF(OR($H33="",$I33=""),"",$H33*$I33)</f>
        <v/>
      </c>
      <c r="K33" s="57" t="n"/>
      <c r="L33" s="43" t="n"/>
    </row>
    <row r="34">
      <c r="A34" s="54" t="n"/>
      <c r="B34" s="43" t="n"/>
      <c r="C34" s="43" t="n"/>
      <c r="D34" s="43" t="n"/>
      <c r="E34" s="55" t="n"/>
      <c r="F34" s="55" t="n"/>
      <c r="G34" s="55" t="n"/>
      <c r="H34" s="56">
        <f>IF(OR($E34="",$G34=""),"",ROUND(($G34-$E34)*24,2))</f>
        <v/>
      </c>
      <c r="I34" s="43" t="n"/>
      <c r="J34" s="46">
        <f>IF(OR($H34="",$I34=""),"",$H34*$I34)</f>
        <v/>
      </c>
      <c r="K34" s="57" t="n"/>
      <c r="L34" s="43" t="n"/>
    </row>
    <row r="35">
      <c r="A35" s="54" t="n"/>
      <c r="B35" s="43" t="n"/>
      <c r="C35" s="43" t="n"/>
      <c r="D35" s="43" t="n"/>
      <c r="E35" s="55" t="n"/>
      <c r="F35" s="55" t="n"/>
      <c r="G35" s="55" t="n"/>
      <c r="H35" s="56">
        <f>IF(OR($E35="",$G35=""),"",ROUND(($G35-$E35)*24,2))</f>
        <v/>
      </c>
      <c r="I35" s="43" t="n"/>
      <c r="J35" s="46">
        <f>IF(OR($H35="",$I35=""),"",$H35*$I35)</f>
        <v/>
      </c>
      <c r="K35" s="57" t="n"/>
      <c r="L35" s="43" t="n"/>
    </row>
    <row r="36">
      <c r="A36" s="54" t="n"/>
      <c r="B36" s="43" t="n"/>
      <c r="C36" s="43" t="n"/>
      <c r="D36" s="43" t="n"/>
      <c r="E36" s="55" t="n"/>
      <c r="F36" s="55" t="n"/>
      <c r="G36" s="55" t="n"/>
      <c r="H36" s="56">
        <f>IF(OR($E36="",$G36=""),"",ROUND(($G36-$E36)*24,2))</f>
        <v/>
      </c>
      <c r="I36" s="43" t="n"/>
      <c r="J36" s="46">
        <f>IF(OR($H36="",$I36=""),"",$H36*$I36)</f>
        <v/>
      </c>
      <c r="K36" s="57" t="n"/>
      <c r="L36" s="43" t="n"/>
    </row>
    <row r="37">
      <c r="A37" s="54" t="n"/>
      <c r="B37" s="43" t="n"/>
      <c r="C37" s="43" t="n"/>
      <c r="D37" s="43" t="n"/>
      <c r="E37" s="55" t="n"/>
      <c r="F37" s="55" t="n"/>
      <c r="G37" s="55" t="n"/>
      <c r="H37" s="56">
        <f>IF(OR($E37="",$G37=""),"",ROUND(($G37-$E37)*24,2))</f>
        <v/>
      </c>
      <c r="I37" s="43" t="n"/>
      <c r="J37" s="46">
        <f>IF(OR($H37="",$I37=""),"",$H37*$I37)</f>
        <v/>
      </c>
      <c r="K37" s="57" t="n"/>
      <c r="L37" s="43" t="n"/>
    </row>
    <row r="38">
      <c r="A38" s="54" t="n"/>
      <c r="B38" s="43" t="n"/>
      <c r="C38" s="43" t="n"/>
      <c r="D38" s="43" t="n"/>
      <c r="E38" s="55" t="n"/>
      <c r="F38" s="55" t="n"/>
      <c r="G38" s="55" t="n"/>
      <c r="H38" s="56">
        <f>IF(OR($E38="",$G38=""),"",ROUND(($G38-$E38)*24,2))</f>
        <v/>
      </c>
      <c r="I38" s="43" t="n"/>
      <c r="J38" s="46">
        <f>IF(OR($H38="",$I38=""),"",$H38*$I38)</f>
        <v/>
      </c>
      <c r="K38" s="57" t="n"/>
      <c r="L38" s="43" t="n"/>
    </row>
    <row r="39">
      <c r="A39" s="54" t="n"/>
      <c r="B39" s="43" t="n"/>
      <c r="C39" s="43" t="n"/>
      <c r="D39" s="43" t="n"/>
      <c r="E39" s="55" t="n"/>
      <c r="F39" s="55" t="n"/>
      <c r="G39" s="55" t="n"/>
      <c r="H39" s="56">
        <f>IF(OR($E39="",$G39=""),"",ROUND(($G39-$E39)*24,2))</f>
        <v/>
      </c>
      <c r="I39" s="43" t="n"/>
      <c r="J39" s="46">
        <f>IF(OR($H39="",$I39=""),"",$H39*$I39)</f>
        <v/>
      </c>
      <c r="K39" s="57" t="n"/>
      <c r="L39" s="43" t="n"/>
    </row>
    <row r="40">
      <c r="A40" s="54" t="n"/>
      <c r="B40" s="43" t="n"/>
      <c r="C40" s="43" t="n"/>
      <c r="D40" s="43" t="n"/>
      <c r="E40" s="55" t="n"/>
      <c r="F40" s="55" t="n"/>
      <c r="G40" s="55" t="n"/>
      <c r="H40" s="56">
        <f>IF(OR($E40="",$G40=""),"",ROUND(($G40-$E40)*24,2))</f>
        <v/>
      </c>
      <c r="I40" s="43" t="n"/>
      <c r="J40" s="46">
        <f>IF(OR($H40="",$I40=""),"",$H40*$I40)</f>
        <v/>
      </c>
      <c r="K40" s="57" t="n"/>
      <c r="L40" s="43" t="n"/>
    </row>
    <row r="41">
      <c r="A41" s="54" t="n"/>
      <c r="B41" s="43" t="n"/>
      <c r="C41" s="43" t="n"/>
      <c r="D41" s="43" t="n"/>
      <c r="E41" s="55" t="n"/>
      <c r="F41" s="55" t="n"/>
      <c r="G41" s="55" t="n"/>
      <c r="H41" s="56">
        <f>IF(OR($E41="",$G41=""),"",ROUND(($G41-$E41)*24,2))</f>
        <v/>
      </c>
      <c r="I41" s="43" t="n"/>
      <c r="J41" s="46">
        <f>IF(OR($H41="",$I41=""),"",$H41*$I41)</f>
        <v/>
      </c>
      <c r="K41" s="57" t="n"/>
      <c r="L41" s="43" t="n"/>
    </row>
    <row r="42">
      <c r="A42" s="54" t="n"/>
      <c r="B42" s="43" t="n"/>
      <c r="C42" s="43" t="n"/>
      <c r="D42" s="43" t="n"/>
      <c r="E42" s="55" t="n"/>
      <c r="F42" s="55" t="n"/>
      <c r="G42" s="55" t="n"/>
      <c r="H42" s="56">
        <f>IF(OR($E42="",$G42=""),"",ROUND(($G42-$E42)*24,2))</f>
        <v/>
      </c>
      <c r="I42" s="43" t="n"/>
      <c r="J42" s="46">
        <f>IF(OR($H42="",$I42=""),"",$H42*$I42)</f>
        <v/>
      </c>
      <c r="K42" s="57" t="n"/>
      <c r="L42" s="43" t="n"/>
    </row>
    <row r="43">
      <c r="A43" s="54" t="n"/>
      <c r="B43" s="43" t="n"/>
      <c r="C43" s="43" t="n"/>
      <c r="D43" s="43" t="n"/>
      <c r="E43" s="55" t="n"/>
      <c r="F43" s="55" t="n"/>
      <c r="G43" s="55" t="n"/>
      <c r="H43" s="56">
        <f>IF(OR($E43="",$G43=""),"",ROUND(($G43-$E43)*24,2))</f>
        <v/>
      </c>
      <c r="I43" s="43" t="n"/>
      <c r="J43" s="46">
        <f>IF(OR($H43="",$I43=""),"",$H43*$I43)</f>
        <v/>
      </c>
      <c r="K43" s="57" t="n"/>
      <c r="L43" s="43" t="n"/>
    </row>
    <row r="44">
      <c r="A44" s="54" t="n"/>
      <c r="B44" s="43" t="n"/>
      <c r="C44" s="43" t="n"/>
      <c r="D44" s="43" t="n"/>
      <c r="E44" s="55" t="n"/>
      <c r="F44" s="55" t="n"/>
      <c r="G44" s="55" t="n"/>
      <c r="H44" s="56">
        <f>IF(OR($E44="",$G44=""),"",ROUND(($G44-$E44)*24,2))</f>
        <v/>
      </c>
      <c r="I44" s="43" t="n"/>
      <c r="J44" s="46">
        <f>IF(OR($H44="",$I44=""),"",$H44*$I44)</f>
        <v/>
      </c>
      <c r="K44" s="57" t="n"/>
      <c r="L44" s="43" t="n"/>
    </row>
    <row r="45">
      <c r="A45" s="54" t="n"/>
      <c r="B45" s="43" t="n"/>
      <c r="C45" s="43" t="n"/>
      <c r="D45" s="43" t="n"/>
      <c r="E45" s="55" t="n"/>
      <c r="F45" s="55" t="n"/>
      <c r="G45" s="55" t="n"/>
      <c r="H45" s="56">
        <f>IF(OR($E45="",$G45=""),"",ROUND(($G45-$E45)*24,2))</f>
        <v/>
      </c>
      <c r="I45" s="43" t="n"/>
      <c r="J45" s="46">
        <f>IF(OR($H45="",$I45=""),"",$H45*$I45)</f>
        <v/>
      </c>
      <c r="K45" s="57" t="n"/>
      <c r="L45" s="43" t="n"/>
    </row>
    <row r="46">
      <c r="A46" s="54" t="n"/>
      <c r="B46" s="43" t="n"/>
      <c r="C46" s="43" t="n"/>
      <c r="D46" s="43" t="n"/>
      <c r="E46" s="55" t="n"/>
      <c r="F46" s="55" t="n"/>
      <c r="G46" s="55" t="n"/>
      <c r="H46" s="56">
        <f>IF(OR($E46="",$G46=""),"",ROUND(($G46-$E46)*24,2))</f>
        <v/>
      </c>
      <c r="I46" s="43" t="n"/>
      <c r="J46" s="46">
        <f>IF(OR($H46="",$I46=""),"",$H46*$I46)</f>
        <v/>
      </c>
      <c r="K46" s="57" t="n"/>
      <c r="L46" s="43" t="n"/>
    </row>
    <row r="47">
      <c r="A47" s="54" t="n"/>
      <c r="B47" s="43" t="n"/>
      <c r="C47" s="43" t="n"/>
      <c r="D47" s="43" t="n"/>
      <c r="E47" s="55" t="n"/>
      <c r="F47" s="55" t="n"/>
      <c r="G47" s="55" t="n"/>
      <c r="H47" s="56">
        <f>IF(OR($E47="",$G47=""),"",ROUND(($G47-$E47)*24,2))</f>
        <v/>
      </c>
      <c r="I47" s="43" t="n"/>
      <c r="J47" s="46">
        <f>IF(OR($H47="",$I47=""),"",$H47*$I47)</f>
        <v/>
      </c>
      <c r="K47" s="57" t="n"/>
      <c r="L47" s="43" t="n"/>
    </row>
    <row r="48">
      <c r="A48" s="54" t="n"/>
      <c r="B48" s="43" t="n"/>
      <c r="C48" s="43" t="n"/>
      <c r="D48" s="43" t="n"/>
      <c r="E48" s="55" t="n"/>
      <c r="F48" s="55" t="n"/>
      <c r="G48" s="55" t="n"/>
      <c r="H48" s="56">
        <f>IF(OR($E48="",$G48=""),"",ROUND(($G48-$E48)*24,2))</f>
        <v/>
      </c>
      <c r="I48" s="43" t="n"/>
      <c r="J48" s="46">
        <f>IF(OR($H48="",$I48=""),"",$H48*$I48)</f>
        <v/>
      </c>
      <c r="K48" s="57" t="n"/>
      <c r="L48" s="43" t="n"/>
    </row>
    <row r="49">
      <c r="A49" s="54" t="n"/>
      <c r="B49" s="43" t="n"/>
      <c r="C49" s="43" t="n"/>
      <c r="D49" s="43" t="n"/>
      <c r="E49" s="55" t="n"/>
      <c r="F49" s="55" t="n"/>
      <c r="G49" s="55" t="n"/>
      <c r="H49" s="56">
        <f>IF(OR($E49="",$G49=""),"",ROUND(($G49-$E49)*24,2))</f>
        <v/>
      </c>
      <c r="I49" s="43" t="n"/>
      <c r="J49" s="46">
        <f>IF(OR($H49="",$I49=""),"",$H49*$I49)</f>
        <v/>
      </c>
      <c r="K49" s="57" t="n"/>
      <c r="L49" s="43" t="n"/>
    </row>
    <row r="50">
      <c r="A50" s="54" t="n"/>
      <c r="B50" s="43" t="n"/>
      <c r="C50" s="43" t="n"/>
      <c r="D50" s="43" t="n"/>
      <c r="E50" s="55" t="n"/>
      <c r="F50" s="55" t="n"/>
      <c r="G50" s="55" t="n"/>
      <c r="H50" s="56">
        <f>IF(OR($E50="",$G50=""),"",ROUND(($G50-$E50)*24,2))</f>
        <v/>
      </c>
      <c r="I50" s="43" t="n"/>
      <c r="J50" s="46">
        <f>IF(OR($H50="",$I50=""),"",$H50*$I50)</f>
        <v/>
      </c>
      <c r="K50" s="57" t="n"/>
      <c r="L50" s="43" t="n"/>
    </row>
    <row r="51">
      <c r="A51" s="54" t="n"/>
      <c r="B51" s="43" t="n"/>
      <c r="C51" s="43" t="n"/>
      <c r="D51" s="43" t="n"/>
      <c r="E51" s="55" t="n"/>
      <c r="F51" s="55" t="n"/>
      <c r="G51" s="55" t="n"/>
      <c r="H51" s="56">
        <f>IF(OR($E51="",$G51=""),"",ROUND(($G51-$E51)*24,2))</f>
        <v/>
      </c>
      <c r="I51" s="43" t="n"/>
      <c r="J51" s="46">
        <f>IF(OR($H51="",$I51=""),"",$H51*$I51)</f>
        <v/>
      </c>
      <c r="K51" s="57" t="n"/>
      <c r="L51" s="43" t="n"/>
    </row>
    <row r="52">
      <c r="A52" s="54" t="n"/>
      <c r="B52" s="43" t="n"/>
      <c r="C52" s="43" t="n"/>
      <c r="D52" s="43" t="n"/>
      <c r="E52" s="55" t="n"/>
      <c r="F52" s="55" t="n"/>
      <c r="G52" s="55" t="n"/>
      <c r="H52" s="56">
        <f>IF(OR($E52="",$G52=""),"",ROUND(($G52-$E52)*24,2))</f>
        <v/>
      </c>
      <c r="I52" s="43" t="n"/>
      <c r="J52" s="46">
        <f>IF(OR($H52="",$I52=""),"",$H52*$I52)</f>
        <v/>
      </c>
      <c r="K52" s="57" t="n"/>
      <c r="L52" s="43" t="n"/>
    </row>
    <row r="53">
      <c r="A53" s="54" t="n"/>
      <c r="B53" s="43" t="n"/>
      <c r="C53" s="43" t="n"/>
      <c r="D53" s="43" t="n"/>
      <c r="E53" s="55" t="n"/>
      <c r="F53" s="55" t="n"/>
      <c r="G53" s="55" t="n"/>
      <c r="H53" s="56">
        <f>IF(OR($E53="",$G53=""),"",ROUND(($G53-$E53)*24,2))</f>
        <v/>
      </c>
      <c r="I53" s="43" t="n"/>
      <c r="J53" s="46">
        <f>IF(OR($H53="",$I53=""),"",$H53*$I53)</f>
        <v/>
      </c>
      <c r="K53" s="57" t="n"/>
      <c r="L53" s="43" t="n"/>
    </row>
    <row r="54">
      <c r="A54" s="54" t="n"/>
      <c r="B54" s="43" t="n"/>
      <c r="C54" s="43" t="n"/>
      <c r="D54" s="43" t="n"/>
      <c r="E54" s="55" t="n"/>
      <c r="F54" s="55" t="n"/>
      <c r="G54" s="55" t="n"/>
      <c r="H54" s="56">
        <f>IF(OR($E54="",$G54=""),"",ROUND(($G54-$E54)*24,2))</f>
        <v/>
      </c>
      <c r="I54" s="43" t="n"/>
      <c r="J54" s="46">
        <f>IF(OR($H54="",$I54=""),"",$H54*$I54)</f>
        <v/>
      </c>
      <c r="K54" s="57" t="n"/>
      <c r="L54" s="43" t="n"/>
    </row>
    <row r="55">
      <c r="A55" s="54" t="n"/>
      <c r="B55" s="43" t="n"/>
      <c r="C55" s="43" t="n"/>
      <c r="D55" s="43" t="n"/>
      <c r="E55" s="55" t="n"/>
      <c r="F55" s="55" t="n"/>
      <c r="G55" s="55" t="n"/>
      <c r="H55" s="56">
        <f>IF(OR($E55="",$G55=""),"",ROUND(($G55-$E55)*24,2))</f>
        <v/>
      </c>
      <c r="I55" s="43" t="n"/>
      <c r="J55" s="46">
        <f>IF(OR($H55="",$I55=""),"",$H55*$I55)</f>
        <v/>
      </c>
      <c r="K55" s="57" t="n"/>
      <c r="L55" s="43" t="n"/>
    </row>
    <row r="56">
      <c r="A56" s="54" t="n"/>
      <c r="B56" s="43" t="n"/>
      <c r="C56" s="43" t="n"/>
      <c r="D56" s="43" t="n"/>
      <c r="E56" s="55" t="n"/>
      <c r="F56" s="55" t="n"/>
      <c r="G56" s="55" t="n"/>
      <c r="H56" s="56">
        <f>IF(OR($E56="",$G56=""),"",ROUND(($G56-$E56)*24,2))</f>
        <v/>
      </c>
      <c r="I56" s="43" t="n"/>
      <c r="J56" s="46">
        <f>IF(OR($H56="",$I56=""),"",$H56*$I56)</f>
        <v/>
      </c>
      <c r="K56" s="57" t="n"/>
      <c r="L56" s="43" t="n"/>
    </row>
    <row r="57">
      <c r="A57" s="54" t="n"/>
      <c r="B57" s="43" t="n"/>
      <c r="C57" s="43" t="n"/>
      <c r="D57" s="43" t="n"/>
      <c r="E57" s="55" t="n"/>
      <c r="F57" s="55" t="n"/>
      <c r="G57" s="55" t="n"/>
      <c r="H57" s="56">
        <f>IF(OR($E57="",$G57=""),"",ROUND(($G57-$E57)*24,2))</f>
        <v/>
      </c>
      <c r="I57" s="43" t="n"/>
      <c r="J57" s="46">
        <f>IF(OR($H57="",$I57=""),"",$H57*$I57)</f>
        <v/>
      </c>
      <c r="K57" s="57" t="n"/>
      <c r="L57" s="43" t="n"/>
    </row>
    <row r="58">
      <c r="A58" s="54" t="n"/>
      <c r="B58" s="43" t="n"/>
      <c r="C58" s="43" t="n"/>
      <c r="D58" s="43" t="n"/>
      <c r="E58" s="55" t="n"/>
      <c r="F58" s="55" t="n"/>
      <c r="G58" s="55" t="n"/>
      <c r="H58" s="56">
        <f>IF(OR($E58="",$G58=""),"",ROUND(($G58-$E58)*24,2))</f>
        <v/>
      </c>
      <c r="I58" s="43" t="n"/>
      <c r="J58" s="46">
        <f>IF(OR($H58="",$I58=""),"",$H58*$I58)</f>
        <v/>
      </c>
      <c r="K58" s="57" t="n"/>
      <c r="L58" s="43" t="n"/>
    </row>
    <row r="59">
      <c r="A59" s="54" t="n"/>
      <c r="B59" s="43" t="n"/>
      <c r="C59" s="43" t="n"/>
      <c r="D59" s="43" t="n"/>
      <c r="E59" s="55" t="n"/>
      <c r="F59" s="55" t="n"/>
      <c r="G59" s="55" t="n"/>
      <c r="H59" s="56">
        <f>IF(OR($E59="",$G59=""),"",ROUND(($G59-$E59)*24,2))</f>
        <v/>
      </c>
      <c r="I59" s="43" t="n"/>
      <c r="J59" s="46">
        <f>IF(OR($H59="",$I59=""),"",$H59*$I59)</f>
        <v/>
      </c>
      <c r="K59" s="57" t="n"/>
      <c r="L59" s="43" t="n"/>
    </row>
    <row r="60">
      <c r="A60" s="54" t="n"/>
      <c r="B60" s="43" t="n"/>
      <c r="C60" s="43" t="n"/>
      <c r="D60" s="43" t="n"/>
      <c r="E60" s="55" t="n"/>
      <c r="F60" s="55" t="n"/>
      <c r="G60" s="55" t="n"/>
      <c r="H60" s="56">
        <f>IF(OR($E60="",$G60=""),"",ROUND(($G60-$E60)*24,2))</f>
        <v/>
      </c>
      <c r="I60" s="43" t="n"/>
      <c r="J60" s="46">
        <f>IF(OR($H60="",$I60=""),"",$H60*$I60)</f>
        <v/>
      </c>
      <c r="K60" s="57" t="n"/>
      <c r="L60" s="43" t="n"/>
    </row>
    <row r="61">
      <c r="A61" s="54" t="n"/>
      <c r="B61" s="43" t="n"/>
      <c r="C61" s="43" t="n"/>
      <c r="D61" s="43" t="n"/>
      <c r="E61" s="55" t="n"/>
      <c r="F61" s="55" t="n"/>
      <c r="G61" s="55" t="n"/>
      <c r="H61" s="56">
        <f>IF(OR($E61="",$G61=""),"",ROUND(($G61-$E61)*24,2))</f>
        <v/>
      </c>
      <c r="I61" s="43" t="n"/>
      <c r="J61" s="46">
        <f>IF(OR($H61="",$I61=""),"",$H61*$I61)</f>
        <v/>
      </c>
      <c r="K61" s="57" t="n"/>
      <c r="L61" s="43" t="n"/>
    </row>
    <row r="62">
      <c r="A62" s="54" t="n"/>
      <c r="B62" s="43" t="n"/>
      <c r="C62" s="43" t="n"/>
      <c r="D62" s="43" t="n"/>
      <c r="E62" s="55" t="n"/>
      <c r="F62" s="55" t="n"/>
      <c r="G62" s="55" t="n"/>
      <c r="H62" s="56">
        <f>IF(OR($E62="",$G62=""),"",ROUND(($G62-$E62)*24,2))</f>
        <v/>
      </c>
      <c r="I62" s="43" t="n"/>
      <c r="J62" s="46">
        <f>IF(OR($H62="",$I62=""),"",$H62*$I62)</f>
        <v/>
      </c>
      <c r="K62" s="57" t="n"/>
      <c r="L62" s="43" t="n"/>
    </row>
    <row r="63">
      <c r="A63" s="54" t="n"/>
      <c r="B63" s="43" t="n"/>
      <c r="C63" s="43" t="n"/>
      <c r="D63" s="43" t="n"/>
      <c r="E63" s="55" t="n"/>
      <c r="F63" s="55" t="n"/>
      <c r="G63" s="55" t="n"/>
      <c r="H63" s="56">
        <f>IF(OR($E63="",$G63=""),"",ROUND(($G63-$E63)*24,2))</f>
        <v/>
      </c>
      <c r="I63" s="43" t="n"/>
      <c r="J63" s="46">
        <f>IF(OR($H63="",$I63=""),"",$H63*$I63)</f>
        <v/>
      </c>
      <c r="K63" s="57" t="n"/>
      <c r="L63" s="43" t="n"/>
    </row>
    <row r="65">
      <c r="A65" s="8" t="inlineStr">
        <is>
          <t>합계</t>
        </is>
      </c>
      <c r="B65" s="50" t="n"/>
      <c r="C65" s="50" t="n"/>
      <c r="D65" s="50" t="n"/>
      <c r="E65" s="50" t="n"/>
      <c r="F65" s="50" t="n"/>
      <c r="G65" s="50" t="n"/>
      <c r="H65" s="16">
        <f>SUM(H4:H63)</f>
        <v/>
      </c>
      <c r="I65" s="50" t="n"/>
      <c r="J65" s="16">
        <f>SUM(J4:J63)</f>
        <v/>
      </c>
      <c r="K65" s="9">
        <f>SUM(K4:K63)</f>
        <v/>
      </c>
      <c r="L65" s="58" t="inlineStr">
        <is>
          <t>→ [3.사유별집계] '포장재 미입고' 행과 대조하여 일치 여부 확인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16" customWidth="1" min="4" max="4"/>
    <col width="16" customWidth="1" min="5" max="5"/>
    <col width="17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6" customHeight="1">
      <c r="A1" s="1" t="inlineStr">
        <is>
          <t>근무형태 시나리오별 주간 대응가능 물량 시뮬레이션</t>
        </is>
      </c>
    </row>
    <row r="2">
      <c r="A2" s="2" t="inlineStr">
        <is>
          <t>AP 요구 회신 2개 항목: ① 제니엘이 가능한 근무형태 ② 그 형태의 주간 물량. 이 시트가 그 답변입니다.</t>
        </is>
      </c>
    </row>
    <row r="4" ht="20" customHeight="1">
      <c r="A4" s="3" t="inlineStr">
        <is>
          <t>① 시나리오별 호기 근무형태 설정 (노란 셀에서 선택)</t>
        </is>
      </c>
    </row>
    <row r="5" ht="32" customHeight="1">
      <c r="A5" s="4" t="inlineStr">
        <is>
          <t>호기</t>
        </is>
      </c>
      <c r="B5" s="4" t="inlineStr">
        <is>
          <t>A. 현행
근무형태</t>
        </is>
      </c>
      <c r="C5" s="4" t="inlineStr">
        <is>
          <t>A. 일CAPA</t>
        </is>
      </c>
      <c r="D5" s="4" t="inlineStr">
        <is>
          <t>B. 잔업복원
근무형태</t>
        </is>
      </c>
      <c r="E5" s="4" t="inlineStr">
        <is>
          <t>B. 일CAPA</t>
        </is>
      </c>
      <c r="F5" s="4" t="inlineStr">
        <is>
          <t>C. 풀가동
근무형태</t>
        </is>
      </c>
      <c r="G5" s="4" t="inlineStr">
        <is>
          <t>C. 일CAPA</t>
        </is>
      </c>
    </row>
    <row r="6">
      <c r="A6" s="14" t="inlineStr">
        <is>
          <t>2호기</t>
        </is>
      </c>
      <c r="B6" s="59" t="inlineStr">
        <is>
          <t>1교대</t>
        </is>
      </c>
      <c r="C6" s="6">
        <f>IF($B6="","",INDEX('1.기준정보'!$C$22:$H$28,MATCH($A6,'1.기준정보'!$A$22:$A$28,0),MATCH($B6,'1.기준정보'!$C$21:$H$21,0)))</f>
        <v/>
      </c>
      <c r="D6" s="59" t="inlineStr">
        <is>
          <t>1교대+잔업</t>
        </is>
      </c>
      <c r="E6" s="6">
        <f>IF($D6="","",INDEX('1.기준정보'!$C$22:$H$28,MATCH($A6,'1.기준정보'!$A$22:$A$28,0),MATCH($D6,'1.기준정보'!$C$21:$H$21,0)))</f>
        <v/>
      </c>
      <c r="F6" s="59" t="inlineStr">
        <is>
          <t>1교대+잔업</t>
        </is>
      </c>
      <c r="G6" s="6">
        <f>IF($F6="","",INDEX('1.기준정보'!$C$22:$H$28,MATCH($A6,'1.기준정보'!$A$22:$A$28,0),MATCH($F6,'1.기준정보'!$C$21:$H$21,0)))</f>
        <v/>
      </c>
    </row>
    <row r="7">
      <c r="A7" s="14" t="inlineStr">
        <is>
          <t>3호기</t>
        </is>
      </c>
      <c r="B7" s="59" t="inlineStr">
        <is>
          <t>1교대</t>
        </is>
      </c>
      <c r="C7" s="6">
        <f>IF($B7="","",INDEX('1.기준정보'!$C$22:$H$28,MATCH($A7,'1.기준정보'!$A$22:$A$28,0),MATCH($B7,'1.기준정보'!$C$21:$H$21,0)))</f>
        <v/>
      </c>
      <c r="D7" s="59" t="inlineStr">
        <is>
          <t>1교대+잔업</t>
        </is>
      </c>
      <c r="E7" s="6">
        <f>IF($D7="","",INDEX('1.기준정보'!$C$22:$H$28,MATCH($A7,'1.기준정보'!$A$22:$A$28,0),MATCH($D7,'1.기준정보'!$C$21:$H$21,0)))</f>
        <v/>
      </c>
      <c r="F7" s="59" t="inlineStr">
        <is>
          <t>1교대+잔업</t>
        </is>
      </c>
      <c r="G7" s="6">
        <f>IF($F7="","",INDEX('1.기준정보'!$C$22:$H$28,MATCH($A7,'1.기준정보'!$A$22:$A$28,0),MATCH($F7,'1.기준정보'!$C$21:$H$21,0)))</f>
        <v/>
      </c>
    </row>
    <row r="8">
      <c r="A8" s="14" t="inlineStr">
        <is>
          <t>4호기</t>
        </is>
      </c>
      <c r="B8" s="59" t="inlineStr">
        <is>
          <t>주간2교대</t>
        </is>
      </c>
      <c r="C8" s="6">
        <f>IF($B8="","",INDEX('1.기준정보'!$C$22:$H$28,MATCH($A8,'1.기준정보'!$A$22:$A$28,0),MATCH($B8,'1.기준정보'!$C$21:$H$21,0)))</f>
        <v/>
      </c>
      <c r="D8" s="59" t="inlineStr">
        <is>
          <t>주간2교대</t>
        </is>
      </c>
      <c r="E8" s="6">
        <f>IF($D8="","",INDEX('1.기준정보'!$C$22:$H$28,MATCH($A8,'1.기준정보'!$A$22:$A$28,0),MATCH($D8,'1.기준정보'!$C$21:$H$21,0)))</f>
        <v/>
      </c>
      <c r="F8" s="59" t="inlineStr">
        <is>
          <t>주간2교대+잔업</t>
        </is>
      </c>
      <c r="G8" s="6">
        <f>IF($F8="","",INDEX('1.기준정보'!$C$22:$H$28,MATCH($A8,'1.기준정보'!$A$22:$A$28,0),MATCH($F8,'1.기준정보'!$C$21:$H$21,0)))</f>
        <v/>
      </c>
    </row>
    <row r="9">
      <c r="A9" s="14" t="inlineStr">
        <is>
          <t>5호기</t>
        </is>
      </c>
      <c r="B9" s="59" t="inlineStr">
        <is>
          <t>주간2교대</t>
        </is>
      </c>
      <c r="C9" s="6">
        <f>IF($B9="","",INDEX('1.기준정보'!$C$22:$H$28,MATCH($A9,'1.기준정보'!$A$22:$A$28,0),MATCH($B9,'1.기준정보'!$C$21:$H$21,0)))</f>
        <v/>
      </c>
      <c r="D9" s="59" t="inlineStr">
        <is>
          <t>주간2교대</t>
        </is>
      </c>
      <c r="E9" s="6">
        <f>IF($D9="","",INDEX('1.기준정보'!$C$22:$H$28,MATCH($A9,'1.기준정보'!$A$22:$A$28,0),MATCH($D9,'1.기준정보'!$C$21:$H$21,0)))</f>
        <v/>
      </c>
      <c r="F9" s="59" t="inlineStr">
        <is>
          <t>주간2교대+잔업</t>
        </is>
      </c>
      <c r="G9" s="6">
        <f>IF($F9="","",INDEX('1.기준정보'!$C$22:$H$28,MATCH($A9,'1.기준정보'!$A$22:$A$28,0),MATCH($F9,'1.기준정보'!$C$21:$H$21,0)))</f>
        <v/>
      </c>
    </row>
    <row r="10">
      <c r="A10" s="14" t="inlineStr">
        <is>
          <t>6호기</t>
        </is>
      </c>
      <c r="B10" s="59" t="inlineStr">
        <is>
          <t>1교대</t>
        </is>
      </c>
      <c r="C10" s="6">
        <f>IF($B10="","",INDEX('1.기준정보'!$C$22:$H$28,MATCH($A10,'1.기준정보'!$A$22:$A$28,0),MATCH($B10,'1.기준정보'!$C$21:$H$21,0)))</f>
        <v/>
      </c>
      <c r="D10" s="59" t="inlineStr">
        <is>
          <t>1교대+잔업</t>
        </is>
      </c>
      <c r="E10" s="6">
        <f>IF($D10="","",INDEX('1.기준정보'!$C$22:$H$28,MATCH($A10,'1.기준정보'!$A$22:$A$28,0),MATCH($D10,'1.기준정보'!$C$21:$H$21,0)))</f>
        <v/>
      </c>
      <c r="F10" s="59" t="inlineStr">
        <is>
          <t>주간2교대+잔업</t>
        </is>
      </c>
      <c r="G10" s="6">
        <f>IF($F10="","",INDEX('1.기준정보'!$C$22:$H$28,MATCH($A10,'1.기준정보'!$A$22:$A$28,0),MATCH($F10,'1.기준정보'!$C$21:$H$21,0)))</f>
        <v/>
      </c>
    </row>
    <row r="11">
      <c r="A11" s="14" t="inlineStr">
        <is>
          <t>7호기</t>
        </is>
      </c>
      <c r="B11" s="59" t="inlineStr">
        <is>
          <t>1교대</t>
        </is>
      </c>
      <c r="C11" s="6">
        <f>IF($B11="","",INDEX('1.기준정보'!$C$22:$H$28,MATCH($A11,'1.기준정보'!$A$22:$A$28,0),MATCH($B11,'1.기준정보'!$C$21:$H$21,0)))</f>
        <v/>
      </c>
      <c r="D11" s="59" t="inlineStr">
        <is>
          <t>1교대+잔업</t>
        </is>
      </c>
      <c r="E11" s="6">
        <f>IF($D11="","",INDEX('1.기준정보'!$C$22:$H$28,MATCH($A11,'1.기준정보'!$A$22:$A$28,0),MATCH($D11,'1.기준정보'!$C$21:$H$21,0)))</f>
        <v/>
      </c>
      <c r="F11" s="59" t="inlineStr">
        <is>
          <t>1교대+잔업</t>
        </is>
      </c>
      <c r="G11" s="6">
        <f>IF($F11="","",INDEX('1.기준정보'!$C$22:$H$28,MATCH($A11,'1.기준정보'!$A$22:$A$28,0),MATCH($F11,'1.기준정보'!$C$21:$H$21,0)))</f>
        <v/>
      </c>
    </row>
    <row r="12">
      <c r="A12" s="14" t="inlineStr">
        <is>
          <t>8호기</t>
        </is>
      </c>
      <c r="B12" s="59" t="inlineStr">
        <is>
          <t>미가동</t>
        </is>
      </c>
      <c r="C12" s="6">
        <f>IF($B12="","",INDEX('1.기준정보'!$C$22:$H$28,MATCH($A12,'1.기준정보'!$A$22:$A$28,0),MATCH($B12,'1.기준정보'!$C$21:$H$21,0)))</f>
        <v/>
      </c>
      <c r="D12" s="59" t="inlineStr">
        <is>
          <t>1교대</t>
        </is>
      </c>
      <c r="E12" s="6">
        <f>IF($D12="","",INDEX('1.기준정보'!$C$22:$H$28,MATCH($A12,'1.기준정보'!$A$22:$A$28,0),MATCH($D12,'1.기준정보'!$C$21:$H$21,0)))</f>
        <v/>
      </c>
      <c r="F12" s="59" t="inlineStr">
        <is>
          <t>1교대+잔업</t>
        </is>
      </c>
      <c r="G12" s="6">
        <f>IF($F12="","",INDEX('1.기준정보'!$C$22:$H$28,MATCH($A12,'1.기준정보'!$A$22:$A$28,0),MATCH($F12,'1.기준정보'!$C$21:$H$21,0)))</f>
        <v/>
      </c>
    </row>
    <row r="13">
      <c r="A13" s="8" t="inlineStr">
        <is>
          <t>일 합계(개)</t>
        </is>
      </c>
      <c r="B13" s="50" t="n"/>
      <c r="C13" s="9">
        <f>SUM(C6:C12)</f>
        <v/>
      </c>
      <c r="D13" s="50" t="n"/>
      <c r="E13" s="9">
        <f>SUM(E6:E12)</f>
        <v/>
      </c>
      <c r="F13" s="50" t="n"/>
      <c r="G13" s="9">
        <f>SUM(G6:G12)</f>
        <v/>
      </c>
    </row>
    <row r="15" ht="20" customHeight="1">
      <c r="A15" s="3" t="inlineStr">
        <is>
          <t>② 주간 환산 및 AP 목표 대비 판정</t>
        </is>
      </c>
    </row>
    <row r="16" ht="32" customHeight="1">
      <c r="A16" s="4" t="inlineStr">
        <is>
          <t>시나리오</t>
        </is>
      </c>
      <c r="B16" s="4" t="inlineStr">
        <is>
          <t>일 물량(개)</t>
        </is>
      </c>
      <c r="C16" s="4" t="inlineStr">
        <is>
          <t>가동일수</t>
        </is>
      </c>
      <c r="D16" s="4" t="inlineStr">
        <is>
          <t>주간 물량(개)</t>
        </is>
      </c>
      <c r="E16" s="4" t="inlineStr">
        <is>
          <t>AP 목표(23만) 대비</t>
        </is>
      </c>
      <c r="F16" s="4" t="inlineStr">
        <is>
          <t>AP 보수(20만) 대비</t>
        </is>
      </c>
      <c r="G16" s="4" t="inlineStr">
        <is>
          <t>판정</t>
        </is>
      </c>
    </row>
    <row r="17">
      <c r="A17" s="5" t="inlineStr">
        <is>
          <t>A. 현행 (주간2교대 2대·잔업 최소)</t>
        </is>
      </c>
      <c r="B17" s="6">
        <f>C13</f>
        <v/>
      </c>
      <c r="C17" s="60">
        <f>'1.기준정보'!$B$6</f>
        <v/>
      </c>
      <c r="D17" s="6">
        <f>$B17*$C17</f>
        <v/>
      </c>
      <c r="E17" s="7">
        <f>IF('1.기준정보'!$B$7=0,0,$D17/'1.기준정보'!$B$7)</f>
        <v/>
      </c>
      <c r="F17" s="7">
        <f>IF('1.기준정보'!$B$8=0,0,$D17/'1.기준정보'!$B$8)</f>
        <v/>
      </c>
      <c r="G17" s="19">
        <f>IF($D17&gt;='1.기준정보'!$B$7,"AP 목표 충족",IF($D17&gt;='1.기준정보'!$B$8,"보수기준 충족 · 목표 미달","목표·보수기준 모두 미달"))</f>
        <v/>
      </c>
    </row>
    <row r="18">
      <c r="A18" s="5" t="inlineStr">
        <is>
          <t>B. 잔업 복원</t>
        </is>
      </c>
      <c r="B18" s="6">
        <f>E13</f>
        <v/>
      </c>
      <c r="C18" s="60">
        <f>'1.기준정보'!$B$6</f>
        <v/>
      </c>
      <c r="D18" s="6">
        <f>$B18*$C18</f>
        <v/>
      </c>
      <c r="E18" s="7">
        <f>IF('1.기준정보'!$B$7=0,0,$D18/'1.기준정보'!$B$7)</f>
        <v/>
      </c>
      <c r="F18" s="7">
        <f>IF('1.기준정보'!$B$8=0,0,$D18/'1.기준정보'!$B$8)</f>
        <v/>
      </c>
      <c r="G18" s="19">
        <f>IF($D18&gt;='1.기준정보'!$B$7,"AP 목표 충족",IF($D18&gt;='1.기준정보'!$B$8,"보수기준 충족 · 목표 미달","목표·보수기준 모두 미달"))</f>
        <v/>
      </c>
    </row>
    <row r="19">
      <c r="A19" s="5" t="inlineStr">
        <is>
          <t>C. 풀가동 (2교대 3라인 + 잔업)</t>
        </is>
      </c>
      <c r="B19" s="6">
        <f>G13</f>
        <v/>
      </c>
      <c r="C19" s="60">
        <f>'1.기준정보'!$B$6</f>
        <v/>
      </c>
      <c r="D19" s="6">
        <f>$B19*$C19</f>
        <v/>
      </c>
      <c r="E19" s="7">
        <f>IF('1.기준정보'!$B$7=0,0,$D19/'1.기준정보'!$B$7)</f>
        <v/>
      </c>
      <c r="F19" s="7">
        <f>IF('1.기준정보'!$B$8=0,0,$D19/'1.기준정보'!$B$8)</f>
        <v/>
      </c>
      <c r="G19" s="19">
        <f>IF($D19&gt;='1.기준정보'!$B$7,"AP 목표 충족",IF($D19&gt;='1.기준정보'!$B$8,"보수기준 충족 · 목표 미달","목표·보수기준 모두 미달"))</f>
        <v/>
      </c>
    </row>
    <row r="21" ht="20" customHeight="1">
      <c r="A21" s="3" t="inlineStr">
        <is>
          <t>③ 회신 시 반드시 명시할 전제조건 (조건 없는 Yes 금지)</t>
        </is>
      </c>
    </row>
    <row r="22" ht="18" customHeight="1">
      <c r="A22" s="61" t="inlineStr">
        <is>
          <t>ⓐ 포장재·부자재 D-3 확정 입고 (미입고 시 해당 비가동은 원청 귀책 LOSS로 정산)</t>
        </is>
      </c>
    </row>
    <row r="23" ht="18" customHeight="1">
      <c r="A23" s="61" t="inlineStr">
        <is>
          <t>ⓑ OP 인원 확보 — 주간2교대 3라인 편성 시 필요인원 대비 결원 해소 (충원 또는 다능공 전환 소요기간 명시)</t>
        </is>
      </c>
    </row>
    <row r="24" ht="18" customHeight="1">
      <c r="A24" s="61" t="inlineStr">
        <is>
          <t>ⓒ 주간계획 확정 시점 준수 — 계획 변경 시 도급 일계획 재수립 리드타임 필요</t>
        </is>
      </c>
    </row>
    <row r="25" ht="18" customHeight="1">
      <c r="A25" s="61" t="inlineStr">
        <is>
          <t>ⓓ 근무편성(교대·잔업) 결정 주체는 제니엘 관리 라인 — AP는 필요 물량만 제시 (도급 적법성 유지)</t>
        </is>
      </c>
    </row>
  </sheetData>
  <mergeCells count="8">
    <mergeCell ref="A4:K4"/>
    <mergeCell ref="A21:K21"/>
    <mergeCell ref="A15:K15"/>
    <mergeCell ref="A22:G22"/>
    <mergeCell ref="A24:G24"/>
    <mergeCell ref="A25:G25"/>
    <mergeCell ref="A1:K1"/>
    <mergeCell ref="A23:G23"/>
  </mergeCells>
  <dataValidations count="1">
    <dataValidation sqref="B6:B12 D6:D12 F6:F12" showDropDown="0" showInputMessage="0" showErrorMessage="0" allowBlank="1" type="list">
      <formula1>"미가동,1교대,1교대+잔업,주간2교대,주간2교대+잔업,특근"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2026-08-31T05:59:25Z</dcterms:created>
  <dcterms:modified xsi:type="dcterms:W3CDTF">2026-08-31T05:59:25Z</dcterms:modified>
</cp:coreProperties>
</file>