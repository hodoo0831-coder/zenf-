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-90" windowWidth="29040" windowHeight="15720" tabRatio="600" firstSheet="0" activeTab="0" autoFilterDateGrouping="1"/>
  </bookViews>
  <sheets>
    <sheet name="0.요약" sheetId="1" state="visible" r:id="rId1"/>
    <sheet name="아모레 업무" sheetId="2" state="visible" r:id="rId2"/>
    <sheet name="아모레 생산" sheetId="3" state="visible" r:id="rId3"/>
  </sheets>
  <definedNames>
    <definedName name="_xlnm._FilterDatabase" localSheetId="1" hidden="1">'아모레 업무'!$A$2:$K$2</definedName>
    <definedName name="_xlnm._FilterDatabase" localSheetId="2" hidden="1">'아모레 생산'!$A$2:$P$154</definedName>
  </definedNames>
  <calcPr calcId="191028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_-* #,##0.0_-;\-* #,##0.0_-;_-* &quot;-&quot;_-;_-@_-"/>
    <numFmt numFmtId="166" formatCode="_-* #,##0_-;\-* #,##0_-;_-* &quot;-&quot;_-;_-@_-"/>
    <numFmt numFmtId="167" formatCode="_-* #,##0.0_-;\-* #,##0.0_-;_-* &quot;-&quot;?_-;_-@_-"/>
  </numFmts>
  <fonts count="30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2"/>
      <sz val="8"/>
      <scheme val="minor"/>
    </font>
    <font>
      <name val="돋움"/>
      <charset val="129"/>
      <family val="3"/>
      <color theme="1"/>
      <sz val="10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sz val="10"/>
    </font>
    <font>
      <name val="맑은 고딕"/>
      <charset val="129"/>
      <family val="3"/>
      <sz val="10"/>
      <scheme val="minor"/>
    </font>
    <font>
      <name val="맑은 고딕"/>
      <charset val="129"/>
      <family val="2"/>
      <sz val="10"/>
      <scheme val="minor"/>
    </font>
    <font>
      <name val="Tahoma"/>
      <family val="2"/>
      <b val="1"/>
      <color indexed="81"/>
      <sz val="9"/>
    </font>
    <font>
      <name val="Tahoma"/>
      <family val="2"/>
      <color indexed="81"/>
      <sz val="9"/>
    </font>
    <font>
      <name val="돋움"/>
      <charset val="129"/>
      <family val="3"/>
      <color indexed="81"/>
      <sz val="9"/>
    </font>
    <font>
      <name val="돋움"/>
      <charset val="129"/>
      <family val="3"/>
      <b val="1"/>
      <color indexed="81"/>
      <sz val="9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11"/>
    </font>
    <font>
      <name val="맑은 고딕"/>
      <b val="1"/>
      <color rgb="00FFFFFF"/>
      <sz val="14"/>
    </font>
    <font>
      <name val="맑은 고딕"/>
      <i val="1"/>
      <color rgb="007F7F7F"/>
      <sz val="9"/>
    </font>
    <font>
      <name val="맑은 고딕"/>
      <b val="1"/>
      <color rgb="00FFFFFF"/>
      <sz val="11"/>
    </font>
    <font>
      <name val="맑은 고딕"/>
      <b val="1"/>
      <color rgb="00FFFFFF"/>
      <sz val="10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b val="1"/>
      <color rgb="00C00000"/>
      <sz val="10"/>
    </font>
    <font>
      <name val="맑은 고딕"/>
      <color rgb="00C00000"/>
      <sz val="10"/>
    </font>
    <font>
      <name val="맑은 고딕"/>
      <b val="1"/>
      <color rgb="00C00000"/>
      <sz val="11"/>
    </font>
    <font>
      <name val="맑은 고딕"/>
      <color rgb="00000000"/>
      <sz val="9"/>
    </font>
    <font>
      <name val="맑은 고딕"/>
      <i val="1"/>
      <color rgb="00C00000"/>
      <sz val="9"/>
    </font>
    <font>
      <name val="맑은 고딕"/>
      <b val="1"/>
      <color rgb="00000000"/>
      <sz val="9"/>
    </font>
    <font>
      <name val="맑은 고딕"/>
      <color rgb="00C00000"/>
      <sz val="9"/>
    </font>
  </fonts>
  <fills count="11">
    <fill>
      <patternFill/>
    </fill>
    <fill>
      <patternFill patternType="gray125"/>
    </fill>
    <fill>
      <patternFill patternType="solid">
        <fgColor indexed="9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000F2438"/>
      </patternFill>
    </fill>
    <fill>
      <patternFill patternType="solid">
        <fgColor rgb="005B7F52"/>
      </patternFill>
    </fill>
    <fill>
      <patternFill patternType="solid">
        <fgColor rgb="00EEF1F1"/>
      </patternFill>
    </fill>
    <fill>
      <patternFill patternType="solid">
        <fgColor rgb="00FCE4E4"/>
      </patternFill>
    </fill>
    <fill>
      <patternFill patternType="solid">
        <fgColor rgb="00FFF2CC"/>
      </patternFill>
    </fill>
    <fill>
      <patternFill patternType="solid">
        <fgColor rgb="00E8F1E6"/>
      </patternFill>
    </fill>
  </fills>
  <borders count="4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medium">
        <color indexed="64"/>
      </left>
      <right style="thin">
        <color indexed="8"/>
      </right>
      <top/>
      <bottom style="thin">
        <color indexed="8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2">
    <xf numFmtId="0" fontId="1" fillId="0" borderId="0" applyAlignment="1">
      <alignment vertical="center"/>
    </xf>
    <xf numFmtId="41" fontId="1" fillId="0" borderId="0" applyAlignment="1">
      <alignment vertical="center"/>
    </xf>
  </cellStyleXfs>
  <cellXfs count="191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5" fillId="0" borderId="2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0" fontId="5" fillId="0" borderId="5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5" fillId="3" borderId="5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8" fillId="0" borderId="5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/>
    </xf>
    <xf numFmtId="0" fontId="5" fillId="0" borderId="11" applyAlignment="1" pivotButton="0" quotePrefix="0" xfId="0">
      <alignment horizontal="center" vertical="center"/>
    </xf>
    <xf numFmtId="0" fontId="5" fillId="0" borderId="16" applyAlignment="1" pivotButton="0" quotePrefix="0" xfId="0">
      <alignment horizontal="center" vertical="center"/>
    </xf>
    <xf numFmtId="0" fontId="5" fillId="0" borderId="17" applyAlignment="1" pivotButton="0" quotePrefix="0" xfId="0">
      <alignment horizontal="center" vertical="center"/>
    </xf>
    <xf numFmtId="0" fontId="5" fillId="0" borderId="23" applyAlignment="1" pivotButton="0" quotePrefix="0" xfId="0">
      <alignment horizontal="center" vertical="center"/>
    </xf>
    <xf numFmtId="0" fontId="2" fillId="0" borderId="24" applyAlignment="1" pivotButton="0" quotePrefix="0" xfId="0">
      <alignment horizontal="center" vertical="center"/>
    </xf>
    <xf numFmtId="0" fontId="5" fillId="0" borderId="25" applyAlignment="1" pivotButton="0" quotePrefix="0" xfId="0">
      <alignment horizontal="center" vertical="center"/>
    </xf>
    <xf numFmtId="0" fontId="2" fillId="0" borderId="26" applyAlignment="1" pivotButton="0" quotePrefix="0" xfId="0">
      <alignment vertical="center"/>
    </xf>
    <xf numFmtId="0" fontId="2" fillId="0" borderId="27" applyAlignment="1" pivotButton="0" quotePrefix="0" xfId="0">
      <alignment vertical="center"/>
    </xf>
    <xf numFmtId="0" fontId="6" fillId="2" borderId="34" applyAlignment="1" pivotButton="0" quotePrefix="0" xfId="0">
      <alignment horizontal="center" vertical="center"/>
    </xf>
    <xf numFmtId="14" fontId="5" fillId="0" borderId="4" applyAlignment="1" pivotButton="0" quotePrefix="0" xfId="0">
      <alignment horizontal="center" vertical="center"/>
    </xf>
    <xf numFmtId="14" fontId="7" fillId="0" borderId="3" applyAlignment="1" pivotButton="0" quotePrefix="0" xfId="0">
      <alignment horizontal="center" vertical="center"/>
    </xf>
    <xf numFmtId="14" fontId="2" fillId="0" borderId="4" applyAlignment="1" pivotButton="0" quotePrefix="0" xfId="0">
      <alignment horizontal="center" vertical="center"/>
    </xf>
    <xf numFmtId="14" fontId="7" fillId="0" borderId="4" applyAlignment="1" pivotButton="0" quotePrefix="0" xfId="0">
      <alignment horizontal="center" vertical="center"/>
    </xf>
    <xf numFmtId="14" fontId="2" fillId="0" borderId="35" applyAlignment="1" pivotButton="0" quotePrefix="0" xfId="0">
      <alignment horizontal="center" vertical="center"/>
    </xf>
    <xf numFmtId="14" fontId="2" fillId="0" borderId="36" applyAlignment="1" pivotButton="0" quotePrefix="0" xfId="0">
      <alignment horizontal="center" vertical="center"/>
    </xf>
    <xf numFmtId="14" fontId="5" fillId="0" borderId="3" applyAlignment="1" pivotButton="0" quotePrefix="0" xfId="0">
      <alignment horizontal="center" vertical="center"/>
    </xf>
    <xf numFmtId="14" fontId="7" fillId="0" borderId="15" applyAlignment="1" pivotButton="0" quotePrefix="0" xfId="0">
      <alignment horizontal="center" vertical="center"/>
    </xf>
    <xf numFmtId="14" fontId="2" fillId="0" borderId="10" applyAlignment="1" pivotButton="0" quotePrefix="0" xfId="0">
      <alignment horizontal="center" vertical="center"/>
    </xf>
    <xf numFmtId="14" fontId="7" fillId="0" borderId="22" applyAlignment="1" pivotButton="0" quotePrefix="0" xfId="0">
      <alignment horizontal="center" vertical="center"/>
    </xf>
    <xf numFmtId="14" fontId="2" fillId="0" borderId="16" applyAlignment="1" pivotButton="0" quotePrefix="0" xfId="0">
      <alignment horizontal="center" vertical="center"/>
    </xf>
    <xf numFmtId="14" fontId="7" fillId="0" borderId="37" applyAlignment="1" pivotButton="0" quotePrefix="0" xfId="0">
      <alignment horizontal="center" vertical="center"/>
    </xf>
    <xf numFmtId="14" fontId="2" fillId="0" borderId="24" applyAlignment="1" pivotButton="0" quotePrefix="0" xfId="0">
      <alignment horizontal="center" vertical="center"/>
    </xf>
    <xf numFmtId="0" fontId="2" fillId="0" borderId="28" applyAlignment="1" pivotButton="0" quotePrefix="0" xfId="0">
      <alignment vertical="center"/>
    </xf>
    <xf numFmtId="164" fontId="5" fillId="0" borderId="7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164" fontId="2" fillId="0" borderId="7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4" fontId="8" fillId="0" borderId="7" applyAlignment="1" pivotButton="0" quotePrefix="0" xfId="0">
      <alignment horizontal="center" vertical="center"/>
    </xf>
    <xf numFmtId="164" fontId="8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164" fontId="5" fillId="0" borderId="38" applyAlignment="1" pivotButton="0" quotePrefix="0" xfId="0">
      <alignment horizontal="center" vertical="center"/>
    </xf>
    <xf numFmtId="165" fontId="5" fillId="0" borderId="6" applyAlignment="1" pivotButton="0" quotePrefix="0" xfId="1">
      <alignment horizontal="center" vertical="center"/>
    </xf>
    <xf numFmtId="165" fontId="5" fillId="0" borderId="12" applyAlignment="1" pivotButton="0" quotePrefix="0" xfId="1">
      <alignment horizontal="center" vertical="center"/>
    </xf>
    <xf numFmtId="165" fontId="5" fillId="0" borderId="19" applyAlignment="1" pivotButton="0" quotePrefix="0" xfId="1">
      <alignment horizontal="center" vertical="center"/>
    </xf>
    <xf numFmtId="166" fontId="2" fillId="0" borderId="27" applyAlignment="1" pivotButton="0" quotePrefix="0" xfId="0">
      <alignment horizontal="center" vertical="center"/>
    </xf>
    <xf numFmtId="0" fontId="13" fillId="4" borderId="0" applyAlignment="1" pivotButton="0" quotePrefix="0" xfId="0">
      <alignment horizontal="center" vertical="center"/>
    </xf>
    <xf numFmtId="165" fontId="5" fillId="0" borderId="2" applyAlignment="1" pivotButton="0" quotePrefix="0" xfId="1">
      <alignment horizontal="center" vertical="center"/>
    </xf>
    <xf numFmtId="0" fontId="2" fillId="0" borderId="5" applyAlignment="1" pivotButton="0" quotePrefix="0" xfId="0">
      <alignment vertical="center"/>
    </xf>
    <xf numFmtId="167" fontId="2" fillId="0" borderId="5" applyAlignment="1" pivotButton="0" quotePrefix="0" xfId="0">
      <alignment vertical="center"/>
    </xf>
    <xf numFmtId="165" fontId="5" fillId="0" borderId="23" applyAlignment="1" pivotButton="0" quotePrefix="0" xfId="1">
      <alignment horizontal="center" vertical="center"/>
    </xf>
    <xf numFmtId="0" fontId="2" fillId="0" borderId="11" applyAlignment="1" pivotButton="0" quotePrefix="0" xfId="0">
      <alignment vertical="center"/>
    </xf>
    <xf numFmtId="165" fontId="2" fillId="0" borderId="26" applyAlignment="1" pivotButton="0" quotePrefix="0" xfId="0">
      <alignment vertical="center"/>
    </xf>
    <xf numFmtId="0" fontId="2" fillId="0" borderId="30" applyAlignment="1" pivotButton="0" quotePrefix="0" xfId="0">
      <alignment vertical="center"/>
    </xf>
    <xf numFmtId="0" fontId="5" fillId="0" borderId="39" applyAlignment="1" pivotButton="0" quotePrefix="0" xfId="0">
      <alignment horizontal="center" vertical="center"/>
    </xf>
    <xf numFmtId="0" fontId="5" fillId="0" borderId="22" applyAlignment="1" pivotButton="0" quotePrefix="0" xfId="0">
      <alignment horizontal="center" vertical="center"/>
    </xf>
    <xf numFmtId="0" fontId="6" fillId="2" borderId="40" applyAlignment="1" pivotButton="0" quotePrefix="0" xfId="0">
      <alignment horizontal="center" vertical="center"/>
    </xf>
    <xf numFmtId="14" fontId="5" fillId="0" borderId="16" applyAlignment="1" pivotButton="0" quotePrefix="0" xfId="0">
      <alignment horizontal="center" vertical="center"/>
    </xf>
    <xf numFmtId="164" fontId="5" fillId="0" borderId="20" applyAlignment="1" pivotButton="0" quotePrefix="0" xfId="0">
      <alignment horizontal="center" vertical="center"/>
    </xf>
    <xf numFmtId="164" fontId="5" fillId="0" borderId="18" applyAlignment="1" pivotButton="0" quotePrefix="0" xfId="0">
      <alignment horizontal="center" vertical="center"/>
    </xf>
    <xf numFmtId="165" fontId="5" fillId="0" borderId="39" applyAlignment="1" pivotButton="0" quotePrefix="0" xfId="1">
      <alignment horizontal="center" vertical="center"/>
    </xf>
    <xf numFmtId="0" fontId="2" fillId="0" borderId="17" applyAlignment="1" pivotButton="0" quotePrefix="0" xfId="0">
      <alignment vertical="center"/>
    </xf>
    <xf numFmtId="0" fontId="4" fillId="0" borderId="26" applyAlignment="1" pivotButton="0" quotePrefix="0" xfId="0">
      <alignment horizontal="center" vertical="center"/>
    </xf>
    <xf numFmtId="0" fontId="4" fillId="0" borderId="33" applyAlignment="1" pivotButton="0" quotePrefix="0" xfId="0">
      <alignment horizontal="center" vertical="center"/>
    </xf>
    <xf numFmtId="0" fontId="4" fillId="0" borderId="29" applyAlignment="1" pivotButton="0" quotePrefix="0" xfId="0">
      <alignment horizontal="center" vertical="center"/>
    </xf>
    <xf numFmtId="0" fontId="4" fillId="0" borderId="30" applyAlignment="1" pivotButton="0" quotePrefix="0" xfId="0">
      <alignment horizontal="center" vertical="center"/>
    </xf>
    <xf numFmtId="0" fontId="4" fillId="0" borderId="31" applyAlignment="1" pivotButton="0" quotePrefix="0" xfId="0">
      <alignment horizontal="center" vertical="center"/>
    </xf>
    <xf numFmtId="0" fontId="4" fillId="0" borderId="27" applyAlignment="1" pivotButton="0" quotePrefix="0" xfId="0">
      <alignment horizontal="center" vertical="center"/>
    </xf>
    <xf numFmtId="0" fontId="2" fillId="0" borderId="30" applyAlignment="1" pivotButton="0" quotePrefix="0" xfId="0">
      <alignment horizontal="center" vertical="center"/>
    </xf>
    <xf numFmtId="0" fontId="14" fillId="0" borderId="0" applyAlignment="1" pivotButton="0" quotePrefix="0" xfId="0">
      <alignment vertical="center"/>
    </xf>
    <xf numFmtId="14" fontId="14" fillId="0" borderId="0" applyAlignment="1" pivotButton="0" quotePrefix="0" xfId="0">
      <alignment vertical="center"/>
    </xf>
    <xf numFmtId="166" fontId="14" fillId="0" borderId="0" applyAlignment="1" pivotButton="0" quotePrefix="0" xfId="1">
      <alignment vertical="center"/>
    </xf>
    <xf numFmtId="0" fontId="14" fillId="0" borderId="2" applyAlignment="1" pivotButton="0" quotePrefix="0" xfId="0">
      <alignment horizontal="center" vertical="center"/>
    </xf>
    <xf numFmtId="0" fontId="14" fillId="0" borderId="5" applyAlignment="1" pivotButton="0" quotePrefix="0" xfId="0">
      <alignment horizontal="center" vertical="center"/>
    </xf>
    <xf numFmtId="0" fontId="14" fillId="0" borderId="7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4" fillId="0" borderId="8" applyAlignment="1" pivotButton="0" quotePrefix="0" xfId="0">
      <alignment horizontal="center" vertical="center"/>
    </xf>
    <xf numFmtId="0" fontId="14" fillId="0" borderId="6" applyAlignment="1" pivotButton="0" quotePrefix="0" xfId="0">
      <alignment horizontal="center" vertical="center"/>
    </xf>
    <xf numFmtId="14" fontId="14" fillId="0" borderId="3" applyAlignment="1" pivotButton="0" quotePrefix="0" xfId="0">
      <alignment horizontal="center" vertical="center"/>
    </xf>
    <xf numFmtId="14" fontId="14" fillId="0" borderId="1" applyAlignment="1" pivotButton="0" quotePrefix="0" xfId="0">
      <alignment horizontal="center" vertical="center"/>
    </xf>
    <xf numFmtId="14" fontId="14" fillId="0" borderId="4" applyAlignment="1" pivotButton="0" quotePrefix="0" xfId="0">
      <alignment horizontal="center" vertical="center"/>
    </xf>
    <xf numFmtId="0" fontId="14" fillId="0" borderId="7" applyAlignment="1" pivotButton="0" quotePrefix="0" xfId="0">
      <alignment horizontal="center" vertical="center" wrapText="1"/>
    </xf>
    <xf numFmtId="14" fontId="15" fillId="0" borderId="3" applyAlignment="1" pivotButton="0" quotePrefix="0" xfId="0">
      <alignment horizontal="center" vertical="center"/>
    </xf>
    <xf numFmtId="14" fontId="15" fillId="0" borderId="1" applyAlignment="1" pivotButton="0" quotePrefix="0" xfId="0">
      <alignment horizontal="center" vertical="center"/>
    </xf>
    <xf numFmtId="14" fontId="0" fillId="0" borderId="3" applyAlignment="1" pivotButton="0" quotePrefix="0" xfId="0">
      <alignment horizontal="center" vertical="center"/>
    </xf>
    <xf numFmtId="14" fontId="0" fillId="0" borderId="1" applyAlignment="1" pivotButton="0" quotePrefix="0" xfId="0">
      <alignment horizontal="center" vertical="center"/>
    </xf>
    <xf numFmtId="0" fontId="14" fillId="3" borderId="5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4" fillId="0" borderId="20" applyAlignment="1" pivotButton="0" quotePrefix="0" xfId="0">
      <alignment horizontal="center" vertical="center"/>
    </xf>
    <xf numFmtId="0" fontId="14" fillId="0" borderId="18" applyAlignment="1" pivotButton="0" quotePrefix="0" xfId="0">
      <alignment horizontal="center" vertical="center"/>
    </xf>
    <xf numFmtId="0" fontId="14" fillId="0" borderId="21" applyAlignment="1" pivotButton="0" quotePrefix="0" xfId="0">
      <alignment horizontal="center" vertical="center"/>
    </xf>
    <xf numFmtId="0" fontId="14" fillId="0" borderId="11" applyAlignment="1" pivotButton="0" quotePrefix="0" xfId="0">
      <alignment horizontal="center" vertical="center"/>
    </xf>
    <xf numFmtId="0" fontId="14" fillId="0" borderId="13" applyAlignment="1" pivotButton="0" quotePrefix="0" xfId="0">
      <alignment horizontal="center" vertical="center"/>
    </xf>
    <xf numFmtId="0" fontId="14" fillId="0" borderId="9" applyAlignment="1" pivotButton="0" quotePrefix="0" xfId="0">
      <alignment horizontal="center" vertical="center"/>
    </xf>
    <xf numFmtId="0" fontId="14" fillId="0" borderId="14" applyAlignment="1" pivotButton="0" quotePrefix="0" xfId="0">
      <alignment horizontal="center" vertical="center"/>
    </xf>
    <xf numFmtId="0" fontId="14" fillId="0" borderId="12" applyAlignment="1" pivotButton="0" quotePrefix="0" xfId="0">
      <alignment horizontal="center" vertical="center"/>
    </xf>
    <xf numFmtId="14" fontId="14" fillId="0" borderId="15" applyAlignment="1" pivotButton="0" quotePrefix="0" xfId="0">
      <alignment horizontal="center" vertical="center"/>
    </xf>
    <xf numFmtId="14" fontId="14" fillId="0" borderId="9" applyAlignment="1" pivotButton="0" quotePrefix="0" xfId="0">
      <alignment horizontal="center" vertical="center"/>
    </xf>
    <xf numFmtId="14" fontId="14" fillId="0" borderId="10" applyAlignment="1" pivotButton="0" quotePrefix="0" xfId="0">
      <alignment horizontal="center" vertical="center"/>
    </xf>
    <xf numFmtId="0" fontId="14" fillId="0" borderId="13" applyAlignment="1" pivotButton="0" quotePrefix="0" xfId="0">
      <alignment horizontal="center" vertical="center" wrapText="1"/>
    </xf>
    <xf numFmtId="0" fontId="14" fillId="0" borderId="26" applyAlignment="1" pivotButton="0" quotePrefix="0" xfId="0">
      <alignment vertical="center"/>
    </xf>
    <xf numFmtId="0" fontId="14" fillId="0" borderId="27" applyAlignment="1" pivotButton="0" quotePrefix="0" xfId="0">
      <alignment vertical="center"/>
    </xf>
    <xf numFmtId="0" fontId="14" fillId="0" borderId="41" applyAlignment="1" pivotButton="0" quotePrefix="0" xfId="0">
      <alignment vertical="center"/>
    </xf>
    <xf numFmtId="166" fontId="14" fillId="0" borderId="30" applyAlignment="1" pivotButton="0" quotePrefix="0" xfId="1">
      <alignment vertical="center"/>
    </xf>
    <xf numFmtId="14" fontId="14" fillId="0" borderId="7" applyAlignment="1" pivotButton="0" quotePrefix="0" xfId="0">
      <alignment horizontal="center" vertical="center"/>
    </xf>
    <xf numFmtId="0" fontId="14" fillId="0" borderId="39" applyAlignment="1" pivotButton="0" quotePrefix="0" xfId="0">
      <alignment horizontal="center" vertical="center"/>
    </xf>
    <xf numFmtId="0" fontId="14" fillId="0" borderId="17" applyAlignment="1" pivotButton="0" quotePrefix="0" xfId="0">
      <alignment horizontal="center" vertical="center"/>
    </xf>
    <xf numFmtId="0" fontId="14" fillId="0" borderId="19" applyAlignment="1" pivotButton="0" quotePrefix="0" xfId="0">
      <alignment horizontal="center" vertical="center"/>
    </xf>
    <xf numFmtId="14" fontId="14" fillId="0" borderId="22" applyAlignment="1" pivotButton="0" quotePrefix="0" xfId="0">
      <alignment horizontal="center" vertical="center"/>
    </xf>
    <xf numFmtId="14" fontId="14" fillId="0" borderId="18" applyAlignment="1" pivotButton="0" quotePrefix="0" xfId="0">
      <alignment horizontal="center" vertical="center"/>
    </xf>
    <xf numFmtId="14" fontId="14" fillId="0" borderId="16" applyAlignment="1" pivotButton="0" quotePrefix="0" xfId="0">
      <alignment horizontal="center" vertical="center"/>
    </xf>
    <xf numFmtId="0" fontId="14" fillId="0" borderId="26" applyAlignment="1" pivotButton="0" quotePrefix="0" xfId="0">
      <alignment horizontal="center" vertical="center"/>
    </xf>
    <xf numFmtId="0" fontId="14" fillId="0" borderId="30" applyAlignment="1" pivotButton="0" quotePrefix="0" xfId="0">
      <alignment horizontal="center" vertical="center"/>
    </xf>
    <xf numFmtId="0" fontId="14" fillId="0" borderId="31" applyAlignment="1" pivotButton="0" quotePrefix="0" xfId="0">
      <alignment horizontal="center" vertical="center"/>
    </xf>
    <xf numFmtId="0" fontId="14" fillId="0" borderId="28" applyAlignment="1" pivotButton="0" quotePrefix="0" xfId="0">
      <alignment horizontal="center" vertical="center"/>
    </xf>
    <xf numFmtId="0" fontId="14" fillId="0" borderId="32" applyAlignment="1" pivotButton="0" quotePrefix="0" xfId="0">
      <alignment horizontal="center" vertical="center"/>
    </xf>
    <xf numFmtId="0" fontId="14" fillId="0" borderId="27" applyAlignment="1" pivotButton="0" quotePrefix="0" xfId="0">
      <alignment horizontal="center" vertical="center"/>
    </xf>
    <xf numFmtId="14" fontId="14" fillId="0" borderId="33" applyAlignment="1" pivotButton="0" quotePrefix="0" xfId="0">
      <alignment horizontal="center" vertical="center"/>
    </xf>
    <xf numFmtId="0" fontId="14" fillId="0" borderId="28" applyAlignment="1" pivotButton="0" quotePrefix="0" xfId="0">
      <alignment vertical="center"/>
    </xf>
    <xf numFmtId="14" fontId="14" fillId="0" borderId="28" applyAlignment="1" pivotButton="0" quotePrefix="0" xfId="0">
      <alignment horizontal="center" vertical="center"/>
    </xf>
    <xf numFmtId="0" fontId="14" fillId="0" borderId="29" applyAlignment="1" pivotButton="0" quotePrefix="0" xfId="0">
      <alignment horizontal="center" vertical="center"/>
    </xf>
    <xf numFmtId="0" fontId="14" fillId="0" borderId="18" applyAlignment="1" pivotButton="0" quotePrefix="0" xfId="0">
      <alignment horizontal="center" vertical="center"/>
    </xf>
    <xf numFmtId="0" fontId="14" fillId="0" borderId="19" applyAlignment="1" pivotButton="0" quotePrefix="0" xfId="0">
      <alignment horizontal="center" vertical="center"/>
    </xf>
    <xf numFmtId="0" fontId="14" fillId="0" borderId="6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164" fontId="14" fillId="0" borderId="6" applyAlignment="1" pivotButton="0" quotePrefix="0" xfId="0">
      <alignment horizontal="center" vertical="center"/>
    </xf>
    <xf numFmtId="164" fontId="14" fillId="0" borderId="1" applyAlignment="1" pivotButton="0" quotePrefix="0" xfId="0">
      <alignment horizontal="center" vertical="center"/>
    </xf>
    <xf numFmtId="164" fontId="14" fillId="0" borderId="12" applyAlignment="1" pivotButton="0" quotePrefix="0" xfId="0">
      <alignment horizontal="center" vertical="center"/>
    </xf>
    <xf numFmtId="164" fontId="14" fillId="0" borderId="9" applyAlignment="1" pivotButton="0" quotePrefix="0" xfId="0">
      <alignment horizontal="center" vertical="center"/>
    </xf>
    <xf numFmtId="0" fontId="0" fillId="0" borderId="0" pivotButton="0" quotePrefix="0" xfId="0"/>
    <xf numFmtId="0" fontId="17" fillId="5" borderId="0" applyAlignment="1" pivotButton="0" quotePrefix="0" xfId="0">
      <alignment vertical="center" indent="1"/>
    </xf>
    <xf numFmtId="0" fontId="18" fillId="0" borderId="0" pivotButton="0" quotePrefix="0" xfId="0"/>
    <xf numFmtId="0" fontId="19" fillId="6" borderId="0" applyAlignment="1" pivotButton="0" quotePrefix="0" xfId="0">
      <alignment vertical="center" indent="1"/>
    </xf>
    <xf numFmtId="0" fontId="20" fillId="5" borderId="42" applyAlignment="1" pivotButton="0" quotePrefix="0" xfId="0">
      <alignment horizontal="center" vertical="center" wrapText="1"/>
    </xf>
    <xf numFmtId="0" fontId="21" fillId="7" borderId="42" applyAlignment="1" pivotButton="0" quotePrefix="0" xfId="0">
      <alignment horizontal="left" vertical="center" indent="1"/>
    </xf>
    <xf numFmtId="3" fontId="22" fillId="0" borderId="42" applyAlignment="1" pivotButton="0" quotePrefix="0" xfId="0">
      <alignment horizontal="center" vertical="center"/>
    </xf>
    <xf numFmtId="164" fontId="22" fillId="0" borderId="42" applyAlignment="1" pivotButton="0" quotePrefix="0" xfId="0">
      <alignment horizontal="center" vertical="center"/>
    </xf>
    <xf numFmtId="3" fontId="23" fillId="8" borderId="42" applyAlignment="1" pivotButton="0" quotePrefix="0" xfId="0">
      <alignment horizontal="center" vertical="center"/>
    </xf>
    <xf numFmtId="3" fontId="24" fillId="0" borderId="42" applyAlignment="1" pivotButton="0" quotePrefix="0" xfId="0">
      <alignment horizontal="center" vertical="center"/>
    </xf>
    <xf numFmtId="3" fontId="21" fillId="0" borderId="42" applyAlignment="1" pivotButton="0" quotePrefix="0" xfId="0">
      <alignment horizontal="center" vertical="center"/>
    </xf>
    <xf numFmtId="3" fontId="21" fillId="7" borderId="42" applyAlignment="1" pivotButton="0" quotePrefix="0" xfId="0">
      <alignment horizontal="center" vertical="center"/>
    </xf>
    <xf numFmtId="164" fontId="21" fillId="7" borderId="42" applyAlignment="1" pivotButton="0" quotePrefix="0" xfId="0">
      <alignment horizontal="center" vertical="center"/>
    </xf>
    <xf numFmtId="3" fontId="23" fillId="7" borderId="42" applyAlignment="1" pivotButton="0" quotePrefix="0" xfId="0">
      <alignment horizontal="center" vertical="center"/>
    </xf>
    <xf numFmtId="0" fontId="25" fillId="0" borderId="0" applyAlignment="1" pivotButton="0" quotePrefix="0" xfId="0">
      <alignment horizontal="left" vertical="center" wrapText="1" indent="1"/>
    </xf>
    <xf numFmtId="0" fontId="26" fillId="7" borderId="42" applyAlignment="1" pivotButton="0" quotePrefix="0" xfId="0">
      <alignment horizontal="center" vertical="center"/>
    </xf>
    <xf numFmtId="0" fontId="21" fillId="0" borderId="42" applyAlignment="1" pivotButton="0" quotePrefix="0" xfId="0">
      <alignment horizontal="left" vertical="center" indent="1"/>
    </xf>
    <xf numFmtId="164" fontId="22" fillId="8" borderId="42" applyAlignment="1" pivotButton="0" quotePrefix="0" xfId="0">
      <alignment horizontal="center" vertical="center"/>
    </xf>
    <xf numFmtId="0" fontId="21" fillId="9" borderId="42" applyAlignment="1" pivotButton="0" quotePrefix="0" xfId="0">
      <alignment horizontal="center" vertical="center"/>
    </xf>
    <xf numFmtId="0" fontId="21" fillId="10" borderId="42" applyAlignment="1" pivotButton="0" quotePrefix="0" xfId="0">
      <alignment horizontal="center" vertical="center"/>
    </xf>
    <xf numFmtId="0" fontId="21" fillId="8" borderId="42" applyAlignment="1" pivotButton="0" quotePrefix="0" xfId="0">
      <alignment horizontal="center" vertical="center"/>
    </xf>
    <xf numFmtId="0" fontId="22" fillId="0" borderId="42" applyAlignment="1" pivotButton="0" quotePrefix="0" xfId="0">
      <alignment horizontal="left" vertical="center" indent="1"/>
    </xf>
    <xf numFmtId="0" fontId="26" fillId="0" borderId="42" applyAlignment="1" pivotButton="0" quotePrefix="0" xfId="0">
      <alignment horizontal="left" vertical="center" indent="1"/>
    </xf>
    <xf numFmtId="164" fontId="21" fillId="8" borderId="42" applyAlignment="1" pivotButton="0" quotePrefix="0" xfId="0">
      <alignment horizontal="center" vertical="center"/>
    </xf>
    <xf numFmtId="164" fontId="23" fillId="0" borderId="42" applyAlignment="1" pivotButton="0" quotePrefix="0" xfId="0">
      <alignment horizontal="center" vertical="center"/>
    </xf>
    <xf numFmtId="0" fontId="21" fillId="0" borderId="42" applyAlignment="1" pivotButton="0" quotePrefix="0" xfId="0">
      <alignment horizontal="center" vertical="center"/>
    </xf>
    <xf numFmtId="164" fontId="21" fillId="0" borderId="42" applyAlignment="1" pivotButton="0" quotePrefix="0" xfId="0">
      <alignment horizontal="center" vertical="center"/>
    </xf>
    <xf numFmtId="0" fontId="27" fillId="0" borderId="0" pivotButton="0" quotePrefix="0" xfId="0"/>
    <xf numFmtId="0" fontId="21" fillId="7" borderId="42" applyAlignment="1" pivotButton="0" quotePrefix="0" xfId="0">
      <alignment horizontal="left" vertical="center" wrapText="1" indent="1"/>
    </xf>
    <xf numFmtId="0" fontId="26" fillId="0" borderId="42" applyAlignment="1" pivotButton="0" quotePrefix="0" xfId="0">
      <alignment horizontal="left" vertical="center" wrapText="1" indent="1"/>
    </xf>
    <xf numFmtId="0" fontId="0" fillId="0" borderId="42" pivotButton="0" quotePrefix="0" xfId="0"/>
    <xf numFmtId="0" fontId="28" fillId="8" borderId="42" applyAlignment="1" pivotButton="0" quotePrefix="0" xfId="0">
      <alignment horizontal="left" vertical="center" wrapText="1" indent="1"/>
    </xf>
    <xf numFmtId="0" fontId="28" fillId="10" borderId="42" applyAlignment="1" pivotButton="0" quotePrefix="0" xfId="0">
      <alignment horizontal="left" vertical="center" wrapText="1" indent="1"/>
    </xf>
    <xf numFmtId="0" fontId="28" fillId="9" borderId="42" applyAlignment="1" pivotButton="0" quotePrefix="0" xfId="0">
      <alignment horizontal="left" vertical="center" wrapText="1" indent="1"/>
    </xf>
    <xf numFmtId="0" fontId="21" fillId="7" borderId="42" applyAlignment="1" pivotButton="0" quotePrefix="0" xfId="0">
      <alignment horizontal="center" vertical="center"/>
    </xf>
    <xf numFmtId="0" fontId="29" fillId="0" borderId="42" applyAlignment="1" pivotButton="0" quotePrefix="0" xfId="0">
      <alignment horizontal="left" vertical="center" wrapText="1" indent="1"/>
    </xf>
    <xf numFmtId="164" fontId="5" fillId="0" borderId="20" applyAlignment="1" pivotButton="0" quotePrefix="0" xfId="0">
      <alignment horizontal="center" vertical="center"/>
    </xf>
    <xf numFmtId="164" fontId="5" fillId="0" borderId="18" applyAlignment="1" pivotButton="0" quotePrefix="0" xfId="0">
      <alignment horizontal="center" vertical="center"/>
    </xf>
    <xf numFmtId="165" fontId="5" fillId="0" borderId="19" applyAlignment="1" pivotButton="0" quotePrefix="0" xfId="1">
      <alignment horizontal="center" vertical="center"/>
    </xf>
    <xf numFmtId="165" fontId="5" fillId="0" borderId="39" applyAlignment="1" pivotButton="0" quotePrefix="0" xfId="1">
      <alignment horizontal="center" vertical="center"/>
    </xf>
    <xf numFmtId="164" fontId="5" fillId="0" borderId="7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165" fontId="5" fillId="0" borderId="6" applyAlignment="1" pivotButton="0" quotePrefix="0" xfId="1">
      <alignment horizontal="center" vertical="center"/>
    </xf>
    <xf numFmtId="165" fontId="5" fillId="0" borderId="2" applyAlignment="1" pivotButton="0" quotePrefix="0" xfId="1">
      <alignment horizontal="center" vertical="center"/>
    </xf>
    <xf numFmtId="164" fontId="2" fillId="0" borderId="7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4" fontId="8" fillId="0" borderId="7" applyAlignment="1" pivotButton="0" quotePrefix="0" xfId="0">
      <alignment horizontal="center" vertical="center"/>
    </xf>
    <xf numFmtId="164" fontId="8" fillId="0" borderId="1" applyAlignment="1" pivotButton="0" quotePrefix="0" xfId="0">
      <alignment horizontal="center" vertical="center"/>
    </xf>
    <xf numFmtId="167" fontId="2" fillId="0" borderId="5" applyAlignment="1" pivotButton="0" quotePrefix="0" xfId="0">
      <alignment vertical="center"/>
    </xf>
    <xf numFmtId="165" fontId="5" fillId="0" borderId="12" applyAlignment="1" pivotButton="0" quotePrefix="0" xfId="1">
      <alignment horizontal="center" vertical="center"/>
    </xf>
    <xf numFmtId="164" fontId="5" fillId="0" borderId="12" applyAlignment="1" pivotButton="0" quotePrefix="0" xfId="0">
      <alignment horizontal="center" vertical="center"/>
    </xf>
    <xf numFmtId="164" fontId="5" fillId="0" borderId="38" applyAlignment="1" pivotButton="0" quotePrefix="0" xfId="0">
      <alignment horizontal="center" vertical="center"/>
    </xf>
    <xf numFmtId="165" fontId="5" fillId="0" borderId="23" applyAlignment="1" pivotButton="0" quotePrefix="0" xfId="1">
      <alignment horizontal="center" vertical="center"/>
    </xf>
    <xf numFmtId="166" fontId="2" fillId="0" borderId="27" applyAlignment="1" pivotButton="0" quotePrefix="0" xfId="0">
      <alignment horizontal="center" vertical="center"/>
    </xf>
    <xf numFmtId="165" fontId="2" fillId="0" borderId="26" applyAlignment="1" pivotButton="0" quotePrefix="0" xfId="0">
      <alignment vertical="center"/>
    </xf>
    <xf numFmtId="166" fontId="14" fillId="0" borderId="0" applyAlignment="1" pivotButton="0" quotePrefix="0" xfId="1">
      <alignment vertical="center"/>
    </xf>
    <xf numFmtId="164" fontId="14" fillId="0" borderId="6" applyAlignment="1" pivotButton="0" quotePrefix="0" xfId="0">
      <alignment horizontal="center" vertical="center"/>
    </xf>
    <xf numFmtId="164" fontId="14" fillId="0" borderId="1" applyAlignment="1" pivotButton="0" quotePrefix="0" xfId="0">
      <alignment horizontal="center" vertical="center"/>
    </xf>
    <xf numFmtId="164" fontId="14" fillId="0" borderId="12" applyAlignment="1" pivotButton="0" quotePrefix="0" xfId="0">
      <alignment horizontal="center" vertical="center"/>
    </xf>
    <xf numFmtId="164" fontId="14" fillId="0" borderId="9" applyAlignment="1" pivotButton="0" quotePrefix="0" xfId="0">
      <alignment horizontal="center" vertical="center"/>
    </xf>
    <xf numFmtId="166" fontId="14" fillId="0" borderId="30" applyAlignment="1" pivotButton="0" quotePrefix="0" xfId="1">
      <alignment vertical="center"/>
    </xf>
  </cellXfs>
  <cellStyles count="2">
    <cellStyle name="표준" xfId="0" builtinId="0"/>
    <cellStyle name="쉼표 [0]" xfId="1" builtinId="6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Zeniel</author>
  </authors>
  <commentList>
    <comment ref="D43" authorId="0" shapeId="0">
      <text>
        <t>Zeniel:
~26.01.09 육아휴직
1/10 복직</t>
      </text>
    </comment>
    <comment ref="D63" authorId="0" shapeId="0">
      <text>
        <t>Zeniel:
~26.02.01 육아휴직</t>
      </text>
    </comment>
    <comment ref="D87" authorId="0" shapeId="0">
      <text>
        <t>1/1~6/30
육아 휴직</t>
      </text>
    </comment>
  </commentList>
</comments>
</file>

<file path=xl/comments/comment2.xml><?xml version="1.0" encoding="utf-8"?>
<comments xmlns="http://schemas.openxmlformats.org/spreadsheetml/2006/main">
  <authors>
    <author>Zeniel</author>
  </authors>
  <commentList>
    <comment ref="G78" authorId="0" shapeId="0">
      <text>
        <t>Zeniel:
~11.30 무급 휴직</t>
      </text>
    </comment>
    <comment ref="G133" authorId="0" shapeId="0">
      <text>
        <t>호봉등록 수정 필요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style="130" min="1" max="1"/>
    <col width="20" customWidth="1" style="130" min="2" max="2"/>
    <col width="18" customWidth="1" style="130" min="3" max="3"/>
    <col width="13" customWidth="1" style="130" min="4" max="4"/>
    <col width="11" customWidth="1" style="130" min="5" max="5"/>
    <col width="11" customWidth="1" style="130" min="6" max="6"/>
    <col width="15" customWidth="1" style="130" min="7" max="7"/>
    <col width="14" customWidth="1" style="130" min="8" max="8"/>
    <col width="16" customWidth="1" style="130" min="9" max="9"/>
  </cols>
  <sheetData>
    <row r="1" ht="26" customHeight="1" s="130">
      <c r="A1" s="131" t="inlineStr">
        <is>
          <t>주 52시간 3개월(6~8월) 시간외근무 현황 — 요약</t>
        </is>
      </c>
    </row>
    <row r="2">
      <c r="A2" s="132" t="inlineStr">
        <is>
          <t>기준: 연장근로 한도 주 12시간 × 13주 = 156시간 / 월 환산 51.4H(30일) · 53.1H(31일). 원본 2개 시트는 수정하지 않았음.</t>
        </is>
      </c>
    </row>
    <row r="4" ht="20" customHeight="1" s="130">
      <c r="A4" s="133" t="inlineStr">
        <is>
          <t>① 전체 현황</t>
        </is>
      </c>
    </row>
    <row r="5" ht="30" customHeight="1" s="130">
      <c r="A5" s="134" t="inlineStr">
        <is>
          <t>구분</t>
        </is>
      </c>
      <c r="B5" s="134" t="inlineStr">
        <is>
          <t>인원</t>
        </is>
      </c>
      <c r="C5" s="134" t="inlineStr">
        <is>
          <t>3개월 합계(H)</t>
        </is>
      </c>
      <c r="D5" s="134" t="inlineStr">
        <is>
          <t>인당 평균(H)</t>
        </is>
      </c>
      <c r="E5" s="134" t="inlineStr">
        <is>
          <t>156H 초과 인원</t>
        </is>
      </c>
      <c r="F5" s="134" t="inlineStr">
        <is>
          <t>초과분 합계(H)</t>
        </is>
      </c>
      <c r="G5" s="134" t="inlineStr">
        <is>
          <t>9월 가용 연장(H)</t>
        </is>
      </c>
      <c r="H5" s="134" t="inlineStr">
        <is>
          <t>인당 가용(H)</t>
        </is>
      </c>
      <c r="I5" s="134" t="inlineStr">
        <is>
          <t>9월 잔업 불가</t>
        </is>
      </c>
    </row>
    <row r="6">
      <c r="A6" s="135" t="inlineStr">
        <is>
          <t>아모레 업무</t>
        </is>
      </c>
      <c r="B6" s="136" t="n">
        <v>88</v>
      </c>
      <c r="C6" s="136" t="n">
        <v>7680</v>
      </c>
      <c r="D6" s="137" t="n">
        <v>87.27272727272727</v>
      </c>
      <c r="E6" s="138" t="n">
        <v>16</v>
      </c>
      <c r="F6" s="139" t="n">
        <v>744</v>
      </c>
      <c r="G6" s="140" t="n">
        <v>4068.800000000004</v>
      </c>
      <c r="H6" s="137" t="n">
        <v>46.23636363636368</v>
      </c>
      <c r="I6" s="139" t="n">
        <v>3</v>
      </c>
    </row>
    <row r="7">
      <c r="A7" s="135" t="inlineStr">
        <is>
          <t>아모레 생산</t>
        </is>
      </c>
      <c r="B7" s="136" t="n">
        <v>151</v>
      </c>
      <c r="C7" s="136" t="n">
        <v>13825</v>
      </c>
      <c r="D7" s="137" t="n">
        <v>91.55629139072848</v>
      </c>
      <c r="E7" s="138" t="n">
        <v>18</v>
      </c>
      <c r="F7" s="139" t="n">
        <v>475</v>
      </c>
      <c r="G7" s="140" t="n">
        <v>7334.099999999984</v>
      </c>
      <c r="H7" s="137" t="n">
        <v>48.57019867549658</v>
      </c>
      <c r="I7" s="139" t="n">
        <v>1</v>
      </c>
    </row>
    <row r="8">
      <c r="A8" s="135" t="inlineStr">
        <is>
          <t>합계</t>
        </is>
      </c>
      <c r="B8" s="141" t="n">
        <v>239</v>
      </c>
      <c r="C8" s="141" t="n">
        <v>21505</v>
      </c>
      <c r="D8" s="142" t="n">
        <v>89.97907949790795</v>
      </c>
      <c r="E8" s="138" t="n">
        <v>34</v>
      </c>
      <c r="F8" s="143" t="n">
        <v>1219</v>
      </c>
      <c r="G8" s="141" t="n">
        <v>11402.89999999999</v>
      </c>
      <c r="H8" s="142" t="n">
        <v>47.71087866108782</v>
      </c>
      <c r="I8" s="143" t="n">
        <v>4</v>
      </c>
    </row>
    <row r="10" ht="32" customHeight="1" s="130">
      <c r="A10" s="144" t="inlineStr">
        <is>
          <t>▶ 239명 중 34명이 이미 3개월 156시간을 초과했다(초과분 1,219H). 9월에 추가로 편성 가능한 연장시간은 전사 11,403H이며, 이 범위를 넘는 잔업·특근은 법 위반이 된다.</t>
        </is>
      </c>
    </row>
    <row r="12" ht="20" customHeight="1" s="130">
      <c r="A12" s="133" t="inlineStr">
        <is>
          <t>② 공정 · 라인별 현황 및 9월 여력</t>
        </is>
      </c>
    </row>
    <row r="13" ht="30" customHeight="1" s="130">
      <c r="A13" s="134" t="inlineStr">
        <is>
          <t>구분</t>
        </is>
      </c>
      <c r="B13" s="134" t="inlineStr">
        <is>
          <t>공정 / 라인</t>
        </is>
      </c>
      <c r="C13" s="134" t="inlineStr">
        <is>
          <t>인원</t>
        </is>
      </c>
      <c r="D13" s="134" t="inlineStr">
        <is>
          <t>3개월 평균(H)</t>
        </is>
      </c>
      <c r="E13" s="134" t="inlineStr">
        <is>
          <t>156H 초과</t>
        </is>
      </c>
      <c r="F13" s="134" t="inlineStr">
        <is>
          <t>7+8월 평균(H)</t>
        </is>
      </c>
      <c r="G13" s="134" t="inlineStr">
        <is>
          <t>9월 가용 계(H)</t>
        </is>
      </c>
      <c r="H13" s="134" t="inlineStr">
        <is>
          <t>인당 가용(H)</t>
        </is>
      </c>
      <c r="I13" s="134" t="inlineStr">
        <is>
          <t>여력 판정</t>
        </is>
      </c>
    </row>
    <row r="14">
      <c r="A14" s="145" t="inlineStr">
        <is>
          <t>업무</t>
        </is>
      </c>
      <c r="B14" s="146" t="inlineStr">
        <is>
          <t>세척실</t>
        </is>
      </c>
      <c r="C14" s="136" t="n">
        <v>14</v>
      </c>
      <c r="D14" s="147" t="n">
        <v>150.7142857142857</v>
      </c>
      <c r="E14" s="139" t="n">
        <v>6</v>
      </c>
      <c r="F14" s="137" t="n">
        <v>102.8571428571429</v>
      </c>
      <c r="G14" s="140" t="n">
        <v>470.6999999999999</v>
      </c>
      <c r="H14" s="137" t="n">
        <v>33.62142857142857</v>
      </c>
      <c r="I14" s="148" t="inlineStr">
        <is>
          <t>보통</t>
        </is>
      </c>
    </row>
    <row r="15">
      <c r="A15" s="145" t="inlineStr">
        <is>
          <t>업무</t>
        </is>
      </c>
      <c r="B15" s="146" t="inlineStr">
        <is>
          <t>내용물 관리</t>
        </is>
      </c>
      <c r="C15" s="136" t="n">
        <v>5</v>
      </c>
      <c r="D15" s="147" t="n">
        <v>137.3</v>
      </c>
      <c r="E15" s="139" t="n">
        <v>2</v>
      </c>
      <c r="F15" s="137" t="n">
        <v>87.3</v>
      </c>
      <c r="G15" s="140" t="n">
        <v>215.2</v>
      </c>
      <c r="H15" s="137" t="n">
        <v>43.04000000000001</v>
      </c>
      <c r="I15" s="149" t="inlineStr">
        <is>
          <t>높음</t>
        </is>
      </c>
    </row>
    <row r="16">
      <c r="A16" s="145" t="inlineStr">
        <is>
          <t>업무</t>
        </is>
      </c>
      <c r="B16" s="146" t="inlineStr">
        <is>
          <t>원료 창고</t>
        </is>
      </c>
      <c r="C16" s="136" t="n">
        <v>6</v>
      </c>
      <c r="D16" s="137" t="n">
        <v>118.75</v>
      </c>
      <c r="E16" s="139" t="n">
        <v>2</v>
      </c>
      <c r="F16" s="137" t="n">
        <v>74.25</v>
      </c>
      <c r="G16" s="140" t="n">
        <v>287</v>
      </c>
      <c r="H16" s="137" t="n">
        <v>47.83333333333334</v>
      </c>
      <c r="I16" s="149" t="inlineStr">
        <is>
          <t>높음</t>
        </is>
      </c>
    </row>
    <row r="17">
      <c r="A17" s="145" t="inlineStr">
        <is>
          <t>업무</t>
        </is>
      </c>
      <c r="B17" s="146" t="inlineStr">
        <is>
          <t>포장재 창고</t>
        </is>
      </c>
      <c r="C17" s="136" t="n">
        <v>25</v>
      </c>
      <c r="D17" s="137" t="n">
        <v>83.86</v>
      </c>
      <c r="E17" s="139" t="n">
        <v>3</v>
      </c>
      <c r="F17" s="137" t="n">
        <v>55.68</v>
      </c>
      <c r="G17" s="140" t="n">
        <v>1216.3</v>
      </c>
      <c r="H17" s="137" t="n">
        <v>48.652</v>
      </c>
      <c r="I17" s="149" t="inlineStr">
        <is>
          <t>높음</t>
        </is>
      </c>
    </row>
    <row r="18">
      <c r="A18" s="145" t="inlineStr">
        <is>
          <t>업무</t>
        </is>
      </c>
      <c r="B18" s="146" t="inlineStr">
        <is>
          <t>적재실</t>
        </is>
      </c>
      <c r="C18" s="136" t="n">
        <v>17</v>
      </c>
      <c r="D18" s="137" t="n">
        <v>78.20588235294117</v>
      </c>
      <c r="E18" s="139" t="n">
        <v>2</v>
      </c>
      <c r="F18" s="137" t="n">
        <v>54.6764705882353</v>
      </c>
      <c r="G18" s="140" t="n">
        <v>825.0999999999998</v>
      </c>
      <c r="H18" s="137" t="n">
        <v>48.53529411764705</v>
      </c>
      <c r="I18" s="149" t="inlineStr">
        <is>
          <t>높음</t>
        </is>
      </c>
    </row>
    <row r="19">
      <c r="A19" s="145" t="inlineStr">
        <is>
          <t>업무</t>
        </is>
      </c>
      <c r="B19" s="146" t="inlineStr">
        <is>
          <t>(미기재)</t>
        </is>
      </c>
      <c r="C19" s="136" t="n">
        <v>4</v>
      </c>
      <c r="D19" s="137" t="n">
        <v>39.75</v>
      </c>
      <c r="E19" s="136" t="n">
        <v>0</v>
      </c>
      <c r="F19" s="137" t="n">
        <v>39.75</v>
      </c>
      <c r="G19" s="140" t="n">
        <v>205.6</v>
      </c>
      <c r="H19" s="137" t="n">
        <v>51.4</v>
      </c>
      <c r="I19" s="149" t="inlineStr">
        <is>
          <t>높음</t>
        </is>
      </c>
    </row>
    <row r="20">
      <c r="A20" s="145" t="inlineStr">
        <is>
          <t>업무</t>
        </is>
      </c>
      <c r="B20" s="146" t="inlineStr">
        <is>
          <t>공작/미화</t>
        </is>
      </c>
      <c r="C20" s="136" t="n">
        <v>15</v>
      </c>
      <c r="D20" s="137" t="n">
        <v>38.36666666666667</v>
      </c>
      <c r="E20" s="139" t="n">
        <v>1</v>
      </c>
      <c r="F20" s="137" t="n">
        <v>28.56666666666667</v>
      </c>
      <c r="G20" s="140" t="n">
        <v>746.0999999999998</v>
      </c>
      <c r="H20" s="137" t="n">
        <v>49.73999999999999</v>
      </c>
      <c r="I20" s="149" t="inlineStr">
        <is>
          <t>높음</t>
        </is>
      </c>
    </row>
    <row r="21">
      <c r="A21" s="145" t="inlineStr">
        <is>
          <t>업무</t>
        </is>
      </c>
      <c r="B21" s="146" t="inlineStr">
        <is>
          <t>관리자</t>
        </is>
      </c>
      <c r="C21" s="136" t="n">
        <v>1</v>
      </c>
      <c r="D21" s="137" t="n">
        <v>10.5</v>
      </c>
      <c r="E21" s="136" t="n">
        <v>0</v>
      </c>
      <c r="F21" s="137" t="n">
        <v>2.5</v>
      </c>
      <c r="G21" s="140" t="n">
        <v>51.4</v>
      </c>
      <c r="H21" s="137" t="n">
        <v>51.4</v>
      </c>
      <c r="I21" s="149" t="inlineStr">
        <is>
          <t>높음</t>
        </is>
      </c>
    </row>
    <row r="22">
      <c r="A22" s="145" t="inlineStr">
        <is>
          <t>업무</t>
        </is>
      </c>
      <c r="B22" s="146" t="inlineStr">
        <is>
          <t>작업지휘자</t>
        </is>
      </c>
      <c r="C22" s="136" t="n">
        <v>1</v>
      </c>
      <c r="D22" s="137" t="n">
        <v>0</v>
      </c>
      <c r="E22" s="136" t="n">
        <v>0</v>
      </c>
      <c r="F22" s="137" t="n">
        <v>0</v>
      </c>
      <c r="G22" s="140" t="n">
        <v>51.4</v>
      </c>
      <c r="H22" s="137" t="n">
        <v>51.4</v>
      </c>
      <c r="I22" s="149" t="inlineStr">
        <is>
          <t>높음</t>
        </is>
      </c>
    </row>
    <row r="23">
      <c r="A23" s="145" t="inlineStr">
        <is>
          <t>생산</t>
        </is>
      </c>
      <c r="B23" s="146" t="inlineStr">
        <is>
          <t>주임</t>
        </is>
      </c>
      <c r="C23" s="136" t="n">
        <v>3</v>
      </c>
      <c r="D23" s="147" t="n">
        <v>189.8333333333333</v>
      </c>
      <c r="E23" s="139" t="n">
        <v>2</v>
      </c>
      <c r="F23" s="137" t="n">
        <v>131.1666666666667</v>
      </c>
      <c r="G23" s="140" t="n">
        <v>74.5</v>
      </c>
      <c r="H23" s="137" t="n">
        <v>24.83333333333333</v>
      </c>
      <c r="I23" s="150" t="inlineStr">
        <is>
          <t>낮음</t>
        </is>
      </c>
    </row>
    <row r="24">
      <c r="A24" s="145" t="inlineStr">
        <is>
          <t>생산</t>
        </is>
      </c>
      <c r="B24" s="146" t="inlineStr">
        <is>
          <t>HnB</t>
        </is>
      </c>
      <c r="C24" s="136" t="n">
        <v>5</v>
      </c>
      <c r="D24" s="147" t="n">
        <v>167.7</v>
      </c>
      <c r="E24" s="139" t="n">
        <v>3</v>
      </c>
      <c r="F24" s="137" t="n">
        <v>114</v>
      </c>
      <c r="G24" s="140" t="n">
        <v>191.8</v>
      </c>
      <c r="H24" s="137" t="n">
        <v>38.36</v>
      </c>
      <c r="I24" s="148" t="inlineStr">
        <is>
          <t>보통</t>
        </is>
      </c>
    </row>
    <row r="25">
      <c r="A25" s="145" t="inlineStr">
        <is>
          <t>생산</t>
        </is>
      </c>
      <c r="B25" s="146" t="inlineStr">
        <is>
          <t>PM</t>
        </is>
      </c>
      <c r="C25" s="136" t="n">
        <v>9</v>
      </c>
      <c r="D25" s="137" t="n">
        <v>119.8888888888889</v>
      </c>
      <c r="E25" s="139" t="n">
        <v>2</v>
      </c>
      <c r="F25" s="137" t="n">
        <v>82.55555555555556</v>
      </c>
      <c r="G25" s="140" t="n">
        <v>399.3</v>
      </c>
      <c r="H25" s="137" t="n">
        <v>44.36666666666666</v>
      </c>
      <c r="I25" s="149" t="inlineStr">
        <is>
          <t>높음</t>
        </is>
      </c>
    </row>
    <row r="26">
      <c r="A26" s="145" t="inlineStr">
        <is>
          <t>생산</t>
        </is>
      </c>
      <c r="B26" s="146" t="inlineStr">
        <is>
          <t>계획자</t>
        </is>
      </c>
      <c r="C26" s="136" t="n">
        <v>3</v>
      </c>
      <c r="D26" s="137" t="n">
        <v>115.1666666666667</v>
      </c>
      <c r="E26" s="139" t="n">
        <v>1</v>
      </c>
      <c r="F26" s="137" t="n">
        <v>72.5</v>
      </c>
      <c r="G26" s="140" t="n">
        <v>133.3</v>
      </c>
      <c r="H26" s="137" t="n">
        <v>44.43333333333334</v>
      </c>
      <c r="I26" s="149" t="inlineStr">
        <is>
          <t>높음</t>
        </is>
      </c>
    </row>
    <row r="27">
      <c r="A27" s="145" t="inlineStr">
        <is>
          <t>생산</t>
        </is>
      </c>
      <c r="B27" s="146" t="inlineStr">
        <is>
          <t>멀티</t>
        </is>
      </c>
      <c r="C27" s="136" t="n">
        <v>20</v>
      </c>
      <c r="D27" s="137" t="n">
        <v>113.1</v>
      </c>
      <c r="E27" s="139" t="n">
        <v>4</v>
      </c>
      <c r="F27" s="137" t="n">
        <v>74.45</v>
      </c>
      <c r="G27" s="140" t="n">
        <v>976.3999999999997</v>
      </c>
      <c r="H27" s="137" t="n">
        <v>48.81999999999999</v>
      </c>
      <c r="I27" s="149" t="inlineStr">
        <is>
          <t>높음</t>
        </is>
      </c>
    </row>
    <row r="28">
      <c r="A28" s="145" t="inlineStr">
        <is>
          <t>생산</t>
        </is>
      </c>
      <c r="B28" s="146" t="inlineStr">
        <is>
          <t>튜브</t>
        </is>
      </c>
      <c r="C28" s="136" t="n">
        <v>17</v>
      </c>
      <c r="D28" s="137" t="n">
        <v>110.6176470588235</v>
      </c>
      <c r="E28" s="139" t="n">
        <v>2</v>
      </c>
      <c r="F28" s="137" t="n">
        <v>80.29411764705883</v>
      </c>
      <c r="G28" s="140" t="n">
        <v>813.5999999999998</v>
      </c>
      <c r="H28" s="137" t="n">
        <v>47.85882352941175</v>
      </c>
      <c r="I28" s="149" t="inlineStr">
        <is>
          <t>높음</t>
        </is>
      </c>
    </row>
    <row r="29">
      <c r="A29" s="145" t="inlineStr">
        <is>
          <t>생산</t>
        </is>
      </c>
      <c r="B29" s="146" t="inlineStr">
        <is>
          <t>직선</t>
        </is>
      </c>
      <c r="C29" s="136" t="n">
        <v>24</v>
      </c>
      <c r="D29" s="137" t="n">
        <v>109.7083333333333</v>
      </c>
      <c r="E29" s="139" t="n">
        <v>2</v>
      </c>
      <c r="F29" s="137" t="n">
        <v>76.75</v>
      </c>
      <c r="G29" s="140" t="n">
        <v>1178</v>
      </c>
      <c r="H29" s="137" t="n">
        <v>49.08333333333334</v>
      </c>
      <c r="I29" s="149" t="inlineStr">
        <is>
          <t>높음</t>
        </is>
      </c>
    </row>
    <row r="30">
      <c r="A30" s="145" t="inlineStr">
        <is>
          <t>생산</t>
        </is>
      </c>
      <c r="B30" s="146" t="inlineStr">
        <is>
          <t>행정</t>
        </is>
      </c>
      <c r="C30" s="136" t="n">
        <v>1</v>
      </c>
      <c r="D30" s="137" t="n">
        <v>101</v>
      </c>
      <c r="E30" s="136" t="n">
        <v>0</v>
      </c>
      <c r="F30" s="137" t="n">
        <v>74</v>
      </c>
      <c r="G30" s="140" t="n">
        <v>51.4</v>
      </c>
      <c r="H30" s="137" t="n">
        <v>51.4</v>
      </c>
      <c r="I30" s="149" t="inlineStr">
        <is>
          <t>높음</t>
        </is>
      </c>
    </row>
    <row r="31">
      <c r="A31" s="145" t="inlineStr">
        <is>
          <t>생산</t>
        </is>
      </c>
      <c r="B31" s="146" t="inlineStr">
        <is>
          <t>실적/순회</t>
        </is>
      </c>
      <c r="C31" s="136" t="n">
        <v>4</v>
      </c>
      <c r="D31" s="137" t="n">
        <v>92.875</v>
      </c>
      <c r="E31" s="139" t="n">
        <v>1</v>
      </c>
      <c r="F31" s="137" t="n">
        <v>55.875</v>
      </c>
      <c r="G31" s="140" t="n">
        <v>197.2</v>
      </c>
      <c r="H31" s="137" t="n">
        <v>49.3</v>
      </c>
      <c r="I31" s="149" t="inlineStr">
        <is>
          <t>높음</t>
        </is>
      </c>
    </row>
    <row r="32">
      <c r="A32" s="145" t="inlineStr">
        <is>
          <t>생산</t>
        </is>
      </c>
      <c r="B32" s="146" t="inlineStr">
        <is>
          <t>초격차</t>
        </is>
      </c>
      <c r="C32" s="136" t="n">
        <v>19</v>
      </c>
      <c r="D32" s="137" t="n">
        <v>80.15789473684211</v>
      </c>
      <c r="E32" s="139" t="n">
        <v>1</v>
      </c>
      <c r="F32" s="137" t="n">
        <v>56.21052631578947</v>
      </c>
      <c r="G32" s="140" t="n">
        <v>954.1999999999997</v>
      </c>
      <c r="H32" s="137" t="n">
        <v>50.22105263157894</v>
      </c>
      <c r="I32" s="149" t="inlineStr">
        <is>
          <t>높음</t>
        </is>
      </c>
    </row>
    <row r="33">
      <c r="A33" s="145" t="inlineStr">
        <is>
          <t>생산</t>
        </is>
      </c>
      <c r="B33" s="146" t="inlineStr">
        <is>
          <t>O/C</t>
        </is>
      </c>
      <c r="C33" s="136" t="n">
        <v>12</v>
      </c>
      <c r="D33" s="137" t="n">
        <v>78.5</v>
      </c>
      <c r="E33" s="136" t="n">
        <v>0</v>
      </c>
      <c r="F33" s="137" t="n">
        <v>41.08333333333334</v>
      </c>
      <c r="G33" s="140" t="n">
        <v>616.7999999999998</v>
      </c>
      <c r="H33" s="137" t="n">
        <v>51.39999999999998</v>
      </c>
      <c r="I33" s="149" t="inlineStr">
        <is>
          <t>높음</t>
        </is>
      </c>
    </row>
    <row r="34">
      <c r="A34" s="145" t="inlineStr">
        <is>
          <t>생산</t>
        </is>
      </c>
      <c r="B34" s="146" t="inlineStr">
        <is>
          <t>PM장</t>
        </is>
      </c>
      <c r="C34" s="136" t="n">
        <v>1</v>
      </c>
      <c r="D34" s="137" t="n">
        <v>56</v>
      </c>
      <c r="E34" s="136" t="n">
        <v>0</v>
      </c>
      <c r="F34" s="137" t="n">
        <v>41</v>
      </c>
      <c r="G34" s="140" t="n">
        <v>51.4</v>
      </c>
      <c r="H34" s="137" t="n">
        <v>51.4</v>
      </c>
      <c r="I34" s="149" t="inlineStr">
        <is>
          <t>높음</t>
        </is>
      </c>
    </row>
    <row r="35">
      <c r="A35" s="145" t="inlineStr">
        <is>
          <t>생산</t>
        </is>
      </c>
      <c r="B35" s="146" t="inlineStr">
        <is>
          <t>염모</t>
        </is>
      </c>
      <c r="C35" s="136" t="n">
        <v>27</v>
      </c>
      <c r="D35" s="137" t="n">
        <v>41.53703703703704</v>
      </c>
      <c r="E35" s="136" t="n">
        <v>0</v>
      </c>
      <c r="F35" s="137" t="n">
        <v>18.5</v>
      </c>
      <c r="G35" s="140" t="n">
        <v>1387.8</v>
      </c>
      <c r="H35" s="137" t="n">
        <v>51.40000000000001</v>
      </c>
      <c r="I35" s="149" t="inlineStr">
        <is>
          <t>높음</t>
        </is>
      </c>
    </row>
    <row r="36">
      <c r="A36" s="145" t="inlineStr">
        <is>
          <t>생산</t>
        </is>
      </c>
      <c r="B36" s="146" t="inlineStr">
        <is>
          <t>(미기재)</t>
        </is>
      </c>
      <c r="C36" s="136" t="n">
        <v>6</v>
      </c>
      <c r="D36" s="137" t="n">
        <v>17</v>
      </c>
      <c r="E36" s="136" t="n">
        <v>0</v>
      </c>
      <c r="F36" s="137" t="n">
        <v>17</v>
      </c>
      <c r="G36" s="140" t="n">
        <v>308.4</v>
      </c>
      <c r="H36" s="137" t="n">
        <v>51.4</v>
      </c>
      <c r="I36" s="149" t="inlineStr">
        <is>
          <t>높음</t>
        </is>
      </c>
    </row>
    <row r="38" ht="20" customHeight="1" s="130">
      <c r="A38" s="133" t="inlineStr">
        <is>
          <t>③ 3개월 156시간 초과자 명단 — 9월 편성 시 최우선 배제 대상</t>
        </is>
      </c>
    </row>
    <row r="39" ht="30" customHeight="1" s="130">
      <c r="A39" s="134" t="inlineStr">
        <is>
          <t>구분</t>
        </is>
      </c>
      <c r="B39" s="134" t="inlineStr">
        <is>
          <t>공정</t>
        </is>
      </c>
      <c r="C39" s="134" t="inlineStr">
        <is>
          <t>세부 / 직책</t>
        </is>
      </c>
      <c r="D39" s="134" t="inlineStr">
        <is>
          <t>성명</t>
        </is>
      </c>
      <c r="E39" s="134" t="inlineStr">
        <is>
          <t>6월</t>
        </is>
      </c>
      <c r="F39" s="134" t="inlineStr">
        <is>
          <t>7월</t>
        </is>
      </c>
      <c r="G39" s="134" t="inlineStr">
        <is>
          <t>8월</t>
        </is>
      </c>
      <c r="H39" s="134" t="inlineStr">
        <is>
          <t>3개월 계</t>
        </is>
      </c>
      <c r="I39" s="134" t="inlineStr">
        <is>
          <t>초과분</t>
        </is>
      </c>
    </row>
    <row r="40">
      <c r="A40" s="145" t="inlineStr">
        <is>
          <t>업무</t>
        </is>
      </c>
      <c r="B40" s="151" t="inlineStr">
        <is>
          <t>세척실</t>
        </is>
      </c>
      <c r="C40" s="152" t="inlineStr">
        <is>
          <t>포터블</t>
        </is>
      </c>
      <c r="D40" s="150" t="inlineStr">
        <is>
          <t>박태근</t>
        </is>
      </c>
      <c r="E40" s="137" t="n">
        <v>91</v>
      </c>
      <c r="F40" s="137" t="n">
        <v>90</v>
      </c>
      <c r="G40" s="137" t="n">
        <v>108.5</v>
      </c>
      <c r="H40" s="153" t="n">
        <v>289.5</v>
      </c>
      <c r="I40" s="154" t="n">
        <v>133.5</v>
      </c>
    </row>
    <row r="41">
      <c r="A41" s="145" t="inlineStr">
        <is>
          <t>생산</t>
        </is>
      </c>
      <c r="B41" s="151" t="inlineStr">
        <is>
          <t>PM</t>
        </is>
      </c>
      <c r="C41" s="152" t="inlineStr">
        <is>
          <t>PM</t>
        </is>
      </c>
      <c r="D41" s="150" t="inlineStr">
        <is>
          <t>문석</t>
        </is>
      </c>
      <c r="E41" s="137" t="n">
        <v>87</v>
      </c>
      <c r="F41" s="137" t="n">
        <v>85</v>
      </c>
      <c r="G41" s="137" t="n">
        <v>92.5</v>
      </c>
      <c r="H41" s="153" t="n">
        <v>264.5</v>
      </c>
      <c r="I41" s="154" t="n">
        <v>108.5</v>
      </c>
    </row>
    <row r="42">
      <c r="A42" s="145" t="inlineStr">
        <is>
          <t>업무</t>
        </is>
      </c>
      <c r="B42" s="151" t="inlineStr">
        <is>
          <t>세척실</t>
        </is>
      </c>
      <c r="C42" s="152" t="inlineStr">
        <is>
          <t>염모제</t>
        </is>
      </c>
      <c r="D42" s="150" t="inlineStr">
        <is>
          <t>김영두</t>
        </is>
      </c>
      <c r="E42" s="137" t="n">
        <v>85</v>
      </c>
      <c r="F42" s="137" t="n">
        <v>84</v>
      </c>
      <c r="G42" s="137" t="n">
        <v>94</v>
      </c>
      <c r="H42" s="153" t="n">
        <v>263</v>
      </c>
      <c r="I42" s="154" t="n">
        <v>107</v>
      </c>
    </row>
    <row r="43">
      <c r="A43" s="145" t="inlineStr">
        <is>
          <t>업무</t>
        </is>
      </c>
      <c r="B43" s="151" t="inlineStr">
        <is>
          <t>세척실</t>
        </is>
      </c>
      <c r="C43" s="152" t="inlineStr">
        <is>
          <t>2층설비세척(멀티)</t>
        </is>
      </c>
      <c r="D43" s="150" t="inlineStr">
        <is>
          <t>이세호</t>
        </is>
      </c>
      <c r="E43" s="137" t="n">
        <v>76</v>
      </c>
      <c r="F43" s="137" t="n">
        <v>81</v>
      </c>
      <c r="G43" s="137" t="n">
        <v>92</v>
      </c>
      <c r="H43" s="153" t="n">
        <v>249</v>
      </c>
      <c r="I43" s="154" t="n">
        <v>93</v>
      </c>
    </row>
    <row r="44">
      <c r="A44" s="145" t="inlineStr">
        <is>
          <t>업무</t>
        </is>
      </c>
      <c r="B44" s="151" t="inlineStr">
        <is>
          <t>세척실</t>
        </is>
      </c>
      <c r="C44" s="152" t="inlineStr">
        <is>
          <t>폼가압통</t>
        </is>
      </c>
      <c r="D44" s="155" t="inlineStr">
        <is>
          <t>한인수</t>
        </is>
      </c>
      <c r="E44" s="137" t="n">
        <v>70</v>
      </c>
      <c r="F44" s="137" t="n">
        <v>75</v>
      </c>
      <c r="G44" s="137" t="n">
        <v>80</v>
      </c>
      <c r="H44" s="156" t="n">
        <v>225</v>
      </c>
      <c r="I44" s="154" t="n">
        <v>69</v>
      </c>
    </row>
    <row r="45">
      <c r="A45" s="145" t="inlineStr">
        <is>
          <t>생산</t>
        </is>
      </c>
      <c r="B45" s="151" t="inlineStr">
        <is>
          <t>주임</t>
        </is>
      </c>
      <c r="C45" s="152" t="inlineStr">
        <is>
          <t>주임</t>
        </is>
      </c>
      <c r="D45" s="155" t="inlineStr">
        <is>
          <t>조영순</t>
        </is>
      </c>
      <c r="E45" s="137" t="n">
        <v>75</v>
      </c>
      <c r="F45" s="137" t="n">
        <v>72.5</v>
      </c>
      <c r="G45" s="137" t="n">
        <v>77</v>
      </c>
      <c r="H45" s="156" t="n">
        <v>224.5</v>
      </c>
      <c r="I45" s="154" t="n">
        <v>68.5</v>
      </c>
    </row>
    <row r="46">
      <c r="A46" s="145" t="inlineStr">
        <is>
          <t>업무</t>
        </is>
      </c>
      <c r="B46" s="151" t="inlineStr">
        <is>
          <t>내용물 관리</t>
        </is>
      </c>
      <c r="C46" s="152" t="inlineStr">
        <is>
          <t>사원</t>
        </is>
      </c>
      <c r="D46" s="155" t="inlineStr">
        <is>
          <t>전완철</t>
        </is>
      </c>
      <c r="E46" s="137" t="n">
        <v>87</v>
      </c>
      <c r="F46" s="137" t="n">
        <v>69</v>
      </c>
      <c r="G46" s="137" t="n">
        <v>61</v>
      </c>
      <c r="H46" s="156" t="n">
        <v>217</v>
      </c>
      <c r="I46" s="154" t="n">
        <v>61</v>
      </c>
    </row>
    <row r="47">
      <c r="A47" s="145" t="inlineStr">
        <is>
          <t>업무</t>
        </is>
      </c>
      <c r="B47" s="151" t="inlineStr">
        <is>
          <t>세척실</t>
        </is>
      </c>
      <c r="C47" s="152" t="inlineStr">
        <is>
          <t>포터블</t>
        </is>
      </c>
      <c r="D47" s="155" t="inlineStr">
        <is>
          <t>선우찬</t>
        </is>
      </c>
      <c r="E47" s="137" t="n">
        <v>73.5</v>
      </c>
      <c r="F47" s="137" t="n">
        <v>69.5</v>
      </c>
      <c r="G47" s="137" t="n">
        <v>63</v>
      </c>
      <c r="H47" s="156" t="n">
        <v>206</v>
      </c>
      <c r="I47" s="154" t="n">
        <v>50</v>
      </c>
    </row>
    <row r="48">
      <c r="A48" s="145" t="inlineStr">
        <is>
          <t>업무</t>
        </is>
      </c>
      <c r="B48" s="151" t="inlineStr">
        <is>
          <t>포장재 창고</t>
        </is>
      </c>
      <c r="C48" s="152" t="inlineStr">
        <is>
          <t>H&amp;B사원</t>
        </is>
      </c>
      <c r="D48" s="155" t="inlineStr">
        <is>
          <t>서재권</t>
        </is>
      </c>
      <c r="E48" s="137" t="n">
        <v>64</v>
      </c>
      <c r="F48" s="137" t="n">
        <v>68</v>
      </c>
      <c r="G48" s="137" t="n">
        <v>72</v>
      </c>
      <c r="H48" s="156" t="n">
        <v>204</v>
      </c>
      <c r="I48" s="154" t="n">
        <v>48</v>
      </c>
    </row>
    <row r="49">
      <c r="A49" s="145" t="inlineStr">
        <is>
          <t>생산</t>
        </is>
      </c>
      <c r="B49" s="151" t="inlineStr">
        <is>
          <t>HnB</t>
        </is>
      </c>
      <c r="C49" s="152" t="inlineStr">
        <is>
          <t>도우미</t>
        </is>
      </c>
      <c r="D49" s="155" t="inlineStr">
        <is>
          <t>김예순</t>
        </is>
      </c>
      <c r="E49" s="137" t="n">
        <v>70</v>
      </c>
      <c r="F49" s="137" t="n">
        <v>72</v>
      </c>
      <c r="G49" s="137" t="n">
        <v>58</v>
      </c>
      <c r="H49" s="156" t="n">
        <v>200</v>
      </c>
      <c r="I49" s="154" t="n">
        <v>44</v>
      </c>
    </row>
    <row r="50">
      <c r="A50" s="145" t="inlineStr">
        <is>
          <t>업무</t>
        </is>
      </c>
      <c r="B50" s="151" t="inlineStr">
        <is>
          <t>적재실</t>
        </is>
      </c>
      <c r="C50" s="152" t="inlineStr">
        <is>
          <t>F&amp;C사원(로봇)</t>
        </is>
      </c>
      <c r="D50" s="155" t="inlineStr">
        <is>
          <t>김영준</t>
        </is>
      </c>
      <c r="E50" s="137" t="n">
        <v>51</v>
      </c>
      <c r="F50" s="137" t="n">
        <v>67.5</v>
      </c>
      <c r="G50" s="137" t="n">
        <v>73.5</v>
      </c>
      <c r="H50" s="156" t="n">
        <v>192</v>
      </c>
      <c r="I50" s="154" t="n">
        <v>36</v>
      </c>
    </row>
    <row r="51">
      <c r="A51" s="145" t="inlineStr">
        <is>
          <t>생산</t>
        </is>
      </c>
      <c r="B51" s="151" t="inlineStr">
        <is>
          <t>튜브</t>
        </is>
      </c>
      <c r="C51" s="152" t="inlineStr">
        <is>
          <t>주임</t>
        </is>
      </c>
      <c r="D51" s="155" t="inlineStr">
        <is>
          <t>최명필</t>
        </is>
      </c>
      <c r="E51" s="137" t="n">
        <v>56.5</v>
      </c>
      <c r="F51" s="137" t="n">
        <v>69</v>
      </c>
      <c r="G51" s="137" t="n">
        <v>66</v>
      </c>
      <c r="H51" s="156" t="n">
        <v>191.5</v>
      </c>
      <c r="I51" s="154" t="n">
        <v>35.5</v>
      </c>
    </row>
    <row r="52">
      <c r="A52" s="145" t="inlineStr">
        <is>
          <t>생산</t>
        </is>
      </c>
      <c r="B52" s="151" t="inlineStr">
        <is>
          <t>주임</t>
        </is>
      </c>
      <c r="C52" s="152" t="inlineStr">
        <is>
          <t>주임</t>
        </is>
      </c>
      <c r="D52" s="155" t="inlineStr">
        <is>
          <t>정혜숙</t>
        </is>
      </c>
      <c r="E52" s="137" t="n">
        <v>62</v>
      </c>
      <c r="F52" s="137" t="n">
        <v>58</v>
      </c>
      <c r="G52" s="137" t="n">
        <v>71</v>
      </c>
      <c r="H52" s="156" t="n">
        <v>191</v>
      </c>
      <c r="I52" s="154" t="n">
        <v>35</v>
      </c>
    </row>
    <row r="53">
      <c r="A53" s="145" t="inlineStr">
        <is>
          <t>업무</t>
        </is>
      </c>
      <c r="B53" s="151" t="inlineStr">
        <is>
          <t>원료 창고</t>
        </is>
      </c>
      <c r="C53" s="152" t="inlineStr">
        <is>
          <t>지방산</t>
        </is>
      </c>
      <c r="D53" s="155" t="inlineStr">
        <is>
          <t>이준구</t>
        </is>
      </c>
      <c r="E53" s="137" t="n">
        <v>64.5</v>
      </c>
      <c r="F53" s="137" t="n">
        <v>55</v>
      </c>
      <c r="G53" s="137" t="n">
        <v>71</v>
      </c>
      <c r="H53" s="156" t="n">
        <v>190.5</v>
      </c>
      <c r="I53" s="154" t="n">
        <v>34.5</v>
      </c>
    </row>
    <row r="54">
      <c r="A54" s="145" t="inlineStr">
        <is>
          <t>생산</t>
        </is>
      </c>
      <c r="B54" s="151" t="inlineStr">
        <is>
          <t>계획자</t>
        </is>
      </c>
      <c r="C54" s="152" t="inlineStr">
        <is>
          <t>계획자</t>
        </is>
      </c>
      <c r="D54" s="155" t="inlineStr">
        <is>
          <t>김순리</t>
        </is>
      </c>
      <c r="E54" s="137" t="n">
        <v>65</v>
      </c>
      <c r="F54" s="137" t="n">
        <v>71.5</v>
      </c>
      <c r="G54" s="137" t="n">
        <v>54</v>
      </c>
      <c r="H54" s="156" t="n">
        <v>190.5</v>
      </c>
      <c r="I54" s="154" t="n">
        <v>34.5</v>
      </c>
    </row>
    <row r="55">
      <c r="A55" s="145" t="inlineStr">
        <is>
          <t>업무</t>
        </is>
      </c>
      <c r="B55" s="151" t="inlineStr">
        <is>
          <t>공작/미화</t>
        </is>
      </c>
      <c r="C55" s="152" t="inlineStr">
        <is>
          <t>전기시설관리</t>
        </is>
      </c>
      <c r="D55" s="155" t="inlineStr">
        <is>
          <t>신성수</t>
        </is>
      </c>
      <c r="E55" s="137" t="n">
        <v>60</v>
      </c>
      <c r="F55" s="137" t="n">
        <v>73</v>
      </c>
      <c r="G55" s="137" t="n">
        <v>56.5</v>
      </c>
      <c r="H55" s="156" t="n">
        <v>189.5</v>
      </c>
      <c r="I55" s="154" t="n">
        <v>33.5</v>
      </c>
    </row>
    <row r="56">
      <c r="A56" s="145" t="inlineStr">
        <is>
          <t>업무</t>
        </is>
      </c>
      <c r="B56" s="151" t="inlineStr">
        <is>
          <t>세척실</t>
        </is>
      </c>
      <c r="C56" s="152" t="inlineStr">
        <is>
          <t>염모제</t>
        </is>
      </c>
      <c r="D56" s="155" t="inlineStr">
        <is>
          <t>김필수</t>
        </is>
      </c>
      <c r="E56" s="137" t="n">
        <v>66</v>
      </c>
      <c r="F56" s="137" t="n">
        <v>62</v>
      </c>
      <c r="G56" s="137" t="n">
        <v>59</v>
      </c>
      <c r="H56" s="156" t="n">
        <v>187</v>
      </c>
      <c r="I56" s="154" t="n">
        <v>31</v>
      </c>
    </row>
    <row r="57">
      <c r="A57" s="145" t="inlineStr">
        <is>
          <t>생산</t>
        </is>
      </c>
      <c r="B57" s="151" t="inlineStr">
        <is>
          <t>HnB</t>
        </is>
      </c>
      <c r="C57" s="152" t="inlineStr">
        <is>
          <t>도우미</t>
        </is>
      </c>
      <c r="D57" s="155" t="inlineStr">
        <is>
          <t>최광일</t>
        </is>
      </c>
      <c r="E57" s="137" t="n">
        <v>56</v>
      </c>
      <c r="F57" s="137" t="n">
        <v>58</v>
      </c>
      <c r="G57" s="137" t="n">
        <v>71</v>
      </c>
      <c r="H57" s="156" t="n">
        <v>185</v>
      </c>
      <c r="I57" s="154" t="n">
        <v>29</v>
      </c>
    </row>
    <row r="58">
      <c r="A58" s="145" t="inlineStr">
        <is>
          <t>생산</t>
        </is>
      </c>
      <c r="B58" s="151" t="inlineStr">
        <is>
          <t>튜브</t>
        </is>
      </c>
      <c r="C58" s="152" t="inlineStr">
        <is>
          <t>도우미</t>
        </is>
      </c>
      <c r="D58" s="155" t="inlineStr">
        <is>
          <t>김진만</t>
        </is>
      </c>
      <c r="E58" s="137" t="n">
        <v>46</v>
      </c>
      <c r="F58" s="137" t="n">
        <v>69</v>
      </c>
      <c r="G58" s="137" t="n">
        <v>63</v>
      </c>
      <c r="H58" s="156" t="n">
        <v>178</v>
      </c>
      <c r="I58" s="154" t="n">
        <v>22</v>
      </c>
    </row>
    <row r="59">
      <c r="A59" s="145" t="inlineStr">
        <is>
          <t>업무</t>
        </is>
      </c>
      <c r="B59" s="151" t="inlineStr">
        <is>
          <t>내용물 관리</t>
        </is>
      </c>
      <c r="C59" s="152" t="inlineStr">
        <is>
          <t>H&amp;B사원</t>
        </is>
      </c>
      <c r="D59" s="155" t="inlineStr">
        <is>
          <t>박효</t>
        </is>
      </c>
      <c r="E59" s="137" t="n">
        <v>56</v>
      </c>
      <c r="F59" s="137" t="n">
        <v>60</v>
      </c>
      <c r="G59" s="137" t="n">
        <v>61</v>
      </c>
      <c r="H59" s="156" t="n">
        <v>177</v>
      </c>
      <c r="I59" s="154" t="n">
        <v>21</v>
      </c>
    </row>
    <row r="60">
      <c r="A60" s="145" t="inlineStr">
        <is>
          <t>업무</t>
        </is>
      </c>
      <c r="B60" s="151" t="inlineStr">
        <is>
          <t>포장재 창고</t>
        </is>
      </c>
      <c r="C60" s="152" t="inlineStr">
        <is>
          <t>1층</t>
        </is>
      </c>
      <c r="D60" s="155" t="inlineStr">
        <is>
          <t>이준엽</t>
        </is>
      </c>
      <c r="E60" s="137" t="n">
        <v>43</v>
      </c>
      <c r="F60" s="137" t="n">
        <v>58</v>
      </c>
      <c r="G60" s="137" t="n">
        <v>72</v>
      </c>
      <c r="H60" s="156" t="n">
        <v>173</v>
      </c>
      <c r="I60" s="154" t="n">
        <v>17</v>
      </c>
    </row>
    <row r="61">
      <c r="A61" s="145" t="inlineStr">
        <is>
          <t>생산</t>
        </is>
      </c>
      <c r="B61" s="151" t="inlineStr">
        <is>
          <t>멀티</t>
        </is>
      </c>
      <c r="C61" s="152" t="inlineStr">
        <is>
          <t>OP</t>
        </is>
      </c>
      <c r="D61" s="155" t="inlineStr">
        <is>
          <t>김해경</t>
        </is>
      </c>
      <c r="E61" s="137" t="n">
        <v>39</v>
      </c>
      <c r="F61" s="137" t="n">
        <v>58</v>
      </c>
      <c r="G61" s="137" t="n">
        <v>75</v>
      </c>
      <c r="H61" s="156" t="n">
        <v>172</v>
      </c>
      <c r="I61" s="154" t="n">
        <v>16</v>
      </c>
    </row>
    <row r="62">
      <c r="A62" s="145" t="inlineStr">
        <is>
          <t>생산</t>
        </is>
      </c>
      <c r="B62" s="151" t="inlineStr">
        <is>
          <t>직선</t>
        </is>
      </c>
      <c r="C62" s="152" t="inlineStr">
        <is>
          <t>작업자</t>
        </is>
      </c>
      <c r="D62" s="155" t="inlineStr">
        <is>
          <t>김명희</t>
        </is>
      </c>
      <c r="E62" s="137" t="n">
        <v>45</v>
      </c>
      <c r="F62" s="137" t="n">
        <v>63</v>
      </c>
      <c r="G62" s="137" t="n">
        <v>63</v>
      </c>
      <c r="H62" s="156" t="n">
        <v>171</v>
      </c>
      <c r="I62" s="154" t="n">
        <v>15</v>
      </c>
    </row>
    <row r="63">
      <c r="A63" s="145" t="inlineStr">
        <is>
          <t>생산</t>
        </is>
      </c>
      <c r="B63" s="151" t="inlineStr">
        <is>
          <t>PM</t>
        </is>
      </c>
      <c r="C63" s="152" t="inlineStr">
        <is>
          <t>PM</t>
        </is>
      </c>
      <c r="D63" s="155" t="inlineStr">
        <is>
          <t>김태환</t>
        </is>
      </c>
      <c r="E63" s="137" t="n">
        <v>53</v>
      </c>
      <c r="F63" s="137" t="n">
        <v>58</v>
      </c>
      <c r="G63" s="137" t="n">
        <v>58.5</v>
      </c>
      <c r="H63" s="156" t="n">
        <v>169.5</v>
      </c>
      <c r="I63" s="154" t="n">
        <v>13.5</v>
      </c>
    </row>
    <row r="64">
      <c r="A64" s="145" t="inlineStr">
        <is>
          <t>생산</t>
        </is>
      </c>
      <c r="B64" s="151" t="inlineStr">
        <is>
          <t>초격차</t>
        </is>
      </c>
      <c r="C64" s="152" t="inlineStr">
        <is>
          <t>작업자</t>
        </is>
      </c>
      <c r="D64" s="155" t="inlineStr">
        <is>
          <t>김희빈</t>
        </is>
      </c>
      <c r="E64" s="137" t="n">
        <v>42</v>
      </c>
      <c r="F64" s="137" t="n">
        <v>66</v>
      </c>
      <c r="G64" s="137" t="n">
        <v>61</v>
      </c>
      <c r="H64" s="156" t="n">
        <v>169</v>
      </c>
      <c r="I64" s="154" t="n">
        <v>13</v>
      </c>
    </row>
    <row r="65">
      <c r="A65" s="145" t="inlineStr">
        <is>
          <t>생산</t>
        </is>
      </c>
      <c r="B65" s="151" t="inlineStr">
        <is>
          <t>직선</t>
        </is>
      </c>
      <c r="C65" s="152" t="inlineStr">
        <is>
          <t>작업자</t>
        </is>
      </c>
      <c r="D65" s="155" t="inlineStr">
        <is>
          <t>이은하</t>
        </is>
      </c>
      <c r="E65" s="137" t="n">
        <v>47</v>
      </c>
      <c r="F65" s="137" t="n">
        <v>64</v>
      </c>
      <c r="G65" s="137" t="n">
        <v>58</v>
      </c>
      <c r="H65" s="156" t="n">
        <v>169</v>
      </c>
      <c r="I65" s="154" t="n">
        <v>13</v>
      </c>
    </row>
    <row r="66">
      <c r="A66" s="145" t="inlineStr">
        <is>
          <t>생산</t>
        </is>
      </c>
      <c r="B66" s="151" t="inlineStr">
        <is>
          <t>멀티</t>
        </is>
      </c>
      <c r="C66" s="152" t="inlineStr">
        <is>
          <t>OP</t>
        </is>
      </c>
      <c r="D66" s="155" t="inlineStr">
        <is>
          <t>이차영</t>
        </is>
      </c>
      <c r="E66" s="137" t="n">
        <v>53</v>
      </c>
      <c r="F66" s="137" t="n">
        <v>52</v>
      </c>
      <c r="G66" s="137" t="n">
        <v>63</v>
      </c>
      <c r="H66" s="156" t="n">
        <v>168</v>
      </c>
      <c r="I66" s="154" t="n">
        <v>12</v>
      </c>
    </row>
    <row r="67">
      <c r="A67" s="145" t="inlineStr">
        <is>
          <t>생산</t>
        </is>
      </c>
      <c r="B67" s="151" t="inlineStr">
        <is>
          <t>멀티</t>
        </is>
      </c>
      <c r="C67" s="152" t="inlineStr">
        <is>
          <t>OP</t>
        </is>
      </c>
      <c r="D67" s="155" t="inlineStr">
        <is>
          <t>김선희</t>
        </is>
      </c>
      <c r="E67" s="137" t="n">
        <v>53</v>
      </c>
      <c r="F67" s="137" t="n">
        <v>47</v>
      </c>
      <c r="G67" s="137" t="n">
        <v>63</v>
      </c>
      <c r="H67" s="156" t="n">
        <v>163</v>
      </c>
      <c r="I67" s="154" t="n">
        <v>7</v>
      </c>
    </row>
    <row r="68">
      <c r="A68" s="145" t="inlineStr">
        <is>
          <t>업무</t>
        </is>
      </c>
      <c r="B68" s="151" t="inlineStr">
        <is>
          <t>포장재 창고</t>
        </is>
      </c>
      <c r="C68" s="152" t="inlineStr">
        <is>
          <t>H&amp;B사원</t>
        </is>
      </c>
      <c r="D68" s="155" t="inlineStr">
        <is>
          <t>전경수</t>
        </is>
      </c>
      <c r="E68" s="137" t="n">
        <v>48</v>
      </c>
      <c r="F68" s="137" t="n">
        <v>54.5</v>
      </c>
      <c r="G68" s="137" t="n">
        <v>58</v>
      </c>
      <c r="H68" s="156" t="n">
        <v>160.5</v>
      </c>
      <c r="I68" s="154" t="n">
        <v>4.5</v>
      </c>
    </row>
    <row r="69">
      <c r="A69" s="145" t="inlineStr">
        <is>
          <t>업무</t>
        </is>
      </c>
      <c r="B69" s="151" t="inlineStr">
        <is>
          <t>적재실</t>
        </is>
      </c>
      <c r="C69" s="152" t="inlineStr">
        <is>
          <t>현장관리(로봇)</t>
        </is>
      </c>
      <c r="D69" s="155" t="inlineStr">
        <is>
          <t>박미춘</t>
        </is>
      </c>
      <c r="E69" s="137" t="n">
        <v>49</v>
      </c>
      <c r="F69" s="137" t="n">
        <v>71.5</v>
      </c>
      <c r="G69" s="137" t="n">
        <v>39.5</v>
      </c>
      <c r="H69" s="156" t="n">
        <v>160</v>
      </c>
      <c r="I69" s="154" t="n">
        <v>4</v>
      </c>
    </row>
    <row r="70">
      <c r="A70" s="145" t="inlineStr">
        <is>
          <t>생산</t>
        </is>
      </c>
      <c r="B70" s="151" t="inlineStr">
        <is>
          <t>실적/순회</t>
        </is>
      </c>
      <c r="C70" s="152" t="inlineStr">
        <is>
          <t>실직/순회</t>
        </is>
      </c>
      <c r="D70" s="155" t="inlineStr">
        <is>
          <t>성은경</t>
        </is>
      </c>
      <c r="E70" s="137" t="n">
        <v>47</v>
      </c>
      <c r="F70" s="137" t="n">
        <v>50</v>
      </c>
      <c r="G70" s="137" t="n">
        <v>63</v>
      </c>
      <c r="H70" s="156" t="n">
        <v>160</v>
      </c>
      <c r="I70" s="154" t="n">
        <v>4</v>
      </c>
    </row>
    <row r="71">
      <c r="A71" s="145" t="inlineStr">
        <is>
          <t>생산</t>
        </is>
      </c>
      <c r="B71" s="151" t="inlineStr">
        <is>
          <t>멀티</t>
        </is>
      </c>
      <c r="C71" s="152" t="inlineStr">
        <is>
          <t>OP</t>
        </is>
      </c>
      <c r="D71" s="155" t="inlineStr">
        <is>
          <t>곽옥연</t>
        </is>
      </c>
      <c r="E71" s="137" t="n">
        <v>47</v>
      </c>
      <c r="F71" s="137" t="n">
        <v>63</v>
      </c>
      <c r="G71" s="137" t="n">
        <v>49</v>
      </c>
      <c r="H71" s="156" t="n">
        <v>159</v>
      </c>
      <c r="I71" s="154" t="n">
        <v>3</v>
      </c>
    </row>
    <row r="72">
      <c r="A72" s="145" t="inlineStr">
        <is>
          <t>생산</t>
        </is>
      </c>
      <c r="B72" s="151" t="inlineStr">
        <is>
          <t>HnB</t>
        </is>
      </c>
      <c r="C72" s="152" t="inlineStr">
        <is>
          <t>도우미</t>
        </is>
      </c>
      <c r="D72" s="155" t="inlineStr">
        <is>
          <t>정현수</t>
        </is>
      </c>
      <c r="E72" s="137" t="n">
        <v>55.5</v>
      </c>
      <c r="F72" s="137" t="n">
        <v>55</v>
      </c>
      <c r="G72" s="137" t="n">
        <v>47</v>
      </c>
      <c r="H72" s="156" t="n">
        <v>157.5</v>
      </c>
      <c r="I72" s="154" t="n">
        <v>1.5</v>
      </c>
    </row>
    <row r="73">
      <c r="A73" s="145" t="inlineStr">
        <is>
          <t>업무</t>
        </is>
      </c>
      <c r="B73" s="151" t="inlineStr">
        <is>
          <t>원료 창고</t>
        </is>
      </c>
      <c r="C73" s="152" t="inlineStr">
        <is>
          <t>현장관리</t>
        </is>
      </c>
      <c r="D73" s="155" t="inlineStr">
        <is>
          <t>이동기</t>
        </is>
      </c>
      <c r="E73" s="137" t="n">
        <v>61.5</v>
      </c>
      <c r="F73" s="137" t="n">
        <v>42</v>
      </c>
      <c r="G73" s="137" t="n">
        <v>53.5</v>
      </c>
      <c r="H73" s="156" t="n">
        <v>157</v>
      </c>
      <c r="I73" s="154" t="n">
        <v>1</v>
      </c>
    </row>
    <row r="74">
      <c r="A74" s="157" t="inlineStr">
        <is>
          <t>※ 성명 음영 = 7·8월 실적만으로 이미 156H를 넘어 9월 잔업 편성이 불가한 인원</t>
        </is>
      </c>
    </row>
    <row r="76" ht="20" customHeight="1" s="130">
      <c r="A76" s="133" t="inlineStr">
        <is>
          <t>④ 38주 대응전략 연계 판정</t>
        </is>
      </c>
    </row>
    <row r="77" ht="30" customHeight="1" s="130">
      <c r="A77" s="134" t="inlineStr">
        <is>
          <t>38주 대안</t>
        </is>
      </c>
      <c r="B77" s="134" t="inlineStr">
        <is>
          <t>대상</t>
        </is>
      </c>
      <c r="C77" s="134" t="inlineStr">
        <is>
          <t>근로시간 현황</t>
        </is>
      </c>
      <c r="D77" s="134" t="inlineStr">
        <is>
          <t>판정</t>
        </is>
      </c>
    </row>
    <row r="78" ht="40" customHeight="1" s="130">
      <c r="A78" s="158" t="inlineStr">
        <is>
          <t>세정 1안) 2대 주야 맞교대</t>
        </is>
      </c>
      <c r="B78" s="159" t="inlineStr">
        <is>
          <t>세척실 지원 업무도급 7명 등</t>
        </is>
      </c>
      <c r="C78" s="159" t="inlineStr">
        <is>
          <t>세척실 14명 평균 150.7H로 전 공정 최고. 6명이 156H 초과, 3명(박태근·김영두·이세호)은 9월 잔업 편성 불가. 9월 가용은 14명 합계 471H</t>
        </is>
      </c>
      <c r="D78" s="160" t="n"/>
      <c r="E78" s="160" t="n"/>
      <c r="F78" s="160" t="n"/>
      <c r="G78" s="160" t="n"/>
      <c r="H78" s="161" t="inlineStr">
        <is>
          <t>야간 추가 시 위반 임박 — 인원 교체 편성 필수</t>
        </is>
      </c>
      <c r="I78" s="160" t="n"/>
    </row>
    <row r="79" ht="40" customHeight="1" s="130">
      <c r="A79" s="158" t="inlineStr">
        <is>
          <t>세정 2안) 직선 1대 Full 잔특</t>
        </is>
      </c>
      <c r="B79" s="159" t="inlineStr">
        <is>
          <t>직선 24명 / 염모 전용 6명</t>
        </is>
      </c>
      <c r="C79" s="159" t="inlineStr">
        <is>
          <t>직선 24명 9월 가용 1,178H, 염모 27명 1,388H로 여력 최대(염모 3개월 평균 18.5H)</t>
        </is>
      </c>
      <c r="D79" s="160" t="n"/>
      <c r="E79" s="160" t="n"/>
      <c r="F79" s="160" t="n"/>
      <c r="G79" s="160" t="n"/>
      <c r="H79" s="162" t="inlineStr">
        <is>
          <t>가능 — 염모 전용 인력 활용이 근로시간 관점에서도 유리</t>
        </is>
      </c>
      <c r="I79" s="160" t="n"/>
    </row>
    <row r="80" ht="40" customHeight="1" s="130">
      <c r="A80" s="158" t="inlineStr">
        <is>
          <t>멀티 2안) 7·8호기 주야</t>
        </is>
      </c>
      <c r="B80" s="159" t="inlineStr">
        <is>
          <t>멀티 20명</t>
        </is>
      </c>
      <c r="C80" s="159" t="inlineStr">
        <is>
          <t>멀티 20명 평균 113.1H, OP 4명(김해경 172 · 이차영 168 · 김선희 163 · 곽옥연 159)이 이미 초과. 9월 가용 976H</t>
        </is>
      </c>
      <c r="D80" s="160" t="n"/>
      <c r="E80" s="160" t="n"/>
      <c r="F80" s="160" t="n"/>
      <c r="G80" s="160" t="n"/>
      <c r="H80" s="163" t="inlineStr">
        <is>
          <t>조건부 — 초과 4명 제외 편성 시 가능</t>
        </is>
      </c>
      <c r="I80" s="160" t="n"/>
    </row>
    <row r="81" ht="40" customHeight="1" s="130">
      <c r="A81" s="158" t="inlineStr">
        <is>
          <t>튜브) 9/14 2Shift 1대 추가</t>
        </is>
      </c>
      <c r="B81" s="159" t="inlineStr">
        <is>
          <t>튜브 17명</t>
        </is>
      </c>
      <c r="C81" s="159" t="inlineStr">
        <is>
          <t>튜브 17명 평균 110.6H, 9월 가용 814H. 초과자는 주임 1명·도우미 1명</t>
        </is>
      </c>
      <c r="D81" s="160" t="n"/>
      <c r="E81" s="160" t="n"/>
      <c r="F81" s="160" t="n"/>
      <c r="G81" s="160" t="n"/>
      <c r="H81" s="162" t="inlineStr">
        <is>
          <t>가능 — OP 편성 여력 있음</t>
        </is>
      </c>
      <c r="I81" s="160" t="n"/>
    </row>
    <row r="82" ht="40" customHeight="1" s="130">
      <c r="A82" s="158" t="inlineStr">
        <is>
          <t>튜브) 간접(주임) → 직접화</t>
        </is>
      </c>
      <c r="B82" s="159" t="inlineStr">
        <is>
          <t>주임 3명</t>
        </is>
      </c>
      <c r="C82" s="159" t="inlineStr">
        <is>
          <t>주임 3명 평균 189.8H로 전 직책 최고. 2명 초과(조영순 224.5 · 최명필 191.5). 9월 가용 3명 합계 74H</t>
        </is>
      </c>
      <c r="D82" s="160" t="n"/>
      <c r="E82" s="160" t="n"/>
      <c r="F82" s="160" t="n"/>
      <c r="G82" s="160" t="n"/>
      <c r="H82" s="161" t="inlineStr">
        <is>
          <t>불가 — 근로시간상 추가 투입 여력 없음</t>
        </is>
      </c>
      <c r="I82" s="160" t="n"/>
    </row>
    <row r="83" ht="40" customHeight="1" s="130">
      <c r="A83" s="158" t="inlineStr">
        <is>
          <t>10월 1·2주 연속 특근</t>
        </is>
      </c>
      <c r="B83" s="159" t="inlineStr">
        <is>
          <t>전 공정</t>
        </is>
      </c>
      <c r="C83" s="159" t="inlineStr">
        <is>
          <t>9월 가용을 소진하면 10월 3개월 구간(8·9·10월)에서 즉시 한도 도달</t>
        </is>
      </c>
      <c r="D83" s="160" t="n"/>
      <c r="E83" s="160" t="n"/>
      <c r="F83" s="160" t="n"/>
      <c r="G83" s="160" t="n"/>
      <c r="H83" s="162" t="inlineStr">
        <is>
          <t>9월 편성량과 연동 관리 필요 — 3안(9/23) 권고</t>
        </is>
      </c>
      <c r="I83" s="160" t="n"/>
    </row>
    <row r="85" ht="20" customHeight="1" s="130">
      <c r="A85" s="133" t="inlineStr">
        <is>
          <t>⑤ 원본 수식 확인 필요</t>
        </is>
      </c>
    </row>
    <row r="86" ht="30" customHeight="1" s="130">
      <c r="A86" s="134" t="inlineStr">
        <is>
          <t>시트</t>
        </is>
      </c>
      <c r="B86" s="134" t="inlineStr">
        <is>
          <t>셀</t>
        </is>
      </c>
      <c r="C86" s="134" t="inlineStr">
        <is>
          <t>내용</t>
        </is>
      </c>
      <c r="D86" s="134" t="inlineStr">
        <is>
          <t>확인 사항</t>
        </is>
      </c>
    </row>
    <row r="87" ht="34" customHeight="1" s="130">
      <c r="A87" s="164" t="inlineStr">
        <is>
          <t>아모레 업무</t>
        </is>
      </c>
      <c r="B87" s="155" t="inlineStr">
        <is>
          <t>I91</t>
        </is>
      </c>
      <c r="C87" s="159" t="inlineStr">
        <is>
          <t>8월 합계 = 2,578 (수식이 아닌 값으로 입력됨)</t>
        </is>
      </c>
      <c r="D87" s="160" t="n"/>
      <c r="E87" s="165" t="inlineStr">
        <is>
          <t>실제 I3:I90 합계는 2,569H로 9H 차이. G91·H91은 SUM 수식인데 I91만 하드코딩되어 있고, J91(3개월 합계 7,680 = 2,446.5+2,664.5+2,569)과도 어긋남. =SUM(I3:I90)으로 수정 필요</t>
        </is>
      </c>
      <c r="F87" s="160" t="n"/>
      <c r="G87" s="160" t="n"/>
      <c r="H87" s="160" t="n"/>
      <c r="I87" s="160" t="n"/>
    </row>
    <row r="88" ht="34" customHeight="1" s="130">
      <c r="A88" s="164" t="inlineStr">
        <is>
          <t>아모레 업무</t>
        </is>
      </c>
      <c r="B88" s="155" t="inlineStr">
        <is>
          <t>M3</t>
        </is>
      </c>
      <c r="C88" s="159">
        <f>COUNTIF(J3:J153,"&gt;156") → 17</f>
        <v/>
      </c>
      <c r="D88" s="160" t="n"/>
      <c r="E88" s="165" t="inlineStr">
        <is>
          <t>범위 J3:J153에 합계행 J91(7,680)이 포함되어 1명 과다 계산. 실제 초과자는 16명. 범위를 J3:J90으로 수정 필요</t>
        </is>
      </c>
      <c r="F88" s="160" t="n"/>
      <c r="G88" s="160" t="n"/>
      <c r="H88" s="160" t="n"/>
      <c r="I88" s="160" t="n"/>
    </row>
    <row r="89" ht="34" customHeight="1" s="130">
      <c r="A89" s="164" t="inlineStr">
        <is>
          <t>아모레 업무</t>
        </is>
      </c>
      <c r="B89" s="155" t="inlineStr">
        <is>
          <t>L3</t>
        </is>
      </c>
      <c r="C89" s="159">
        <f>52*3 → 156</f>
        <v/>
      </c>
      <c r="D89" s="160" t="n"/>
      <c r="E89" s="165" t="inlineStr">
        <is>
          <t>값 156은 맞으나 산출 근거가 다름. 연장근로 한도는 주 12시간이므로 12H × 13주 = 156H가 정확한 산식. '주 52시간 × 3'은 근거로 제시할 수 없음</t>
        </is>
      </c>
      <c r="F89" s="160" t="n"/>
      <c r="G89" s="160" t="n"/>
      <c r="H89" s="160" t="n"/>
      <c r="I89" s="160" t="n"/>
    </row>
    <row r="90" ht="34" customHeight="1" s="130">
      <c r="A90" s="164" t="inlineStr">
        <is>
          <t>아모레 생산</t>
        </is>
      </c>
      <c r="B90" s="155" t="inlineStr">
        <is>
          <t>Q3 / R3</t>
        </is>
      </c>
      <c r="C90" s="159">
        <f>52*3 / =COUNTIF(O3:O153,"&gt;156") → 18</f>
        <v/>
      </c>
      <c r="D90" s="160" t="n"/>
      <c r="E90" s="165" t="inlineStr">
        <is>
          <t>COUNTIF 범위는 합계행(154)을 제외하여 18명으로 정확. 산식 근거는 위와 동일하게 정정 권장</t>
        </is>
      </c>
      <c r="F90" s="160" t="n"/>
      <c r="G90" s="160" t="n"/>
      <c r="H90" s="160" t="n"/>
      <c r="I90" s="160" t="n"/>
    </row>
  </sheetData>
  <mergeCells count="27">
    <mergeCell ref="H82:I82"/>
    <mergeCell ref="C83:G83"/>
    <mergeCell ref="H78:I78"/>
    <mergeCell ref="C89:D89"/>
    <mergeCell ref="C87:D87"/>
    <mergeCell ref="C88:D88"/>
    <mergeCell ref="A12:I12"/>
    <mergeCell ref="C79:G79"/>
    <mergeCell ref="E88:I88"/>
    <mergeCell ref="H83:I83"/>
    <mergeCell ref="A85:I85"/>
    <mergeCell ref="E87:I87"/>
    <mergeCell ref="A76:I76"/>
    <mergeCell ref="A4:I4"/>
    <mergeCell ref="H79:I79"/>
    <mergeCell ref="C80:G80"/>
    <mergeCell ref="A38:I38"/>
    <mergeCell ref="C90:D90"/>
    <mergeCell ref="E90:I90"/>
    <mergeCell ref="A10:I10"/>
    <mergeCell ref="E89:I89"/>
    <mergeCell ref="H81:I81"/>
    <mergeCell ref="H80:I80"/>
    <mergeCell ref="C82:G82"/>
    <mergeCell ref="C81:G81"/>
    <mergeCell ref="A1:I1"/>
    <mergeCell ref="C78:G7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0070C0"/>
    <outlinePr summaryBelow="1" summaryRight="1"/>
    <pageSetUpPr/>
  </sheetPr>
  <dimension ref="A2:M91"/>
  <sheetViews>
    <sheetView tabSelected="1" zoomScale="85" zoomScaleNormal="85" workbookViewId="0">
      <pane xSplit="6" ySplit="2" topLeftCell="G3" activePane="bottomRight" state="frozen"/>
      <selection pane="bottomRight" activeCell="P18" sqref="P18"/>
      <selection pane="bottomLeft" activeCell="A3" sqref="A3"/>
      <selection pane="topRight" activeCell="H1" sqref="H1"/>
    </sheetView>
  </sheetViews>
  <sheetFormatPr baseColWidth="8" defaultColWidth="9" defaultRowHeight="15.6"/>
  <cols>
    <col width="5.125" customWidth="1" style="1" min="1" max="1"/>
    <col width="18.5" customWidth="1" style="1" min="2" max="2"/>
    <col width="17.375" customWidth="1" style="1" min="3" max="3"/>
    <col width="10.125" customWidth="1" style="1" min="4" max="6"/>
    <col width="17.875" bestFit="1" customWidth="1" style="1" min="7" max="9"/>
    <col width="9" customWidth="1" style="2" min="10" max="16384"/>
  </cols>
  <sheetData>
    <row r="1" ht="27.75" customHeight="1" s="130" thickBot="1"/>
    <row r="2" ht="24.6" customHeight="1" s="130" thickBot="1">
      <c r="A2" s="63" t="inlineStr">
        <is>
          <t>연번</t>
        </is>
      </c>
      <c r="B2" s="64" t="inlineStr">
        <is>
          <t>공정명</t>
        </is>
      </c>
      <c r="C2" s="65" t="inlineStr">
        <is>
          <t>세부공정</t>
        </is>
      </c>
      <c r="D2" s="66" t="inlineStr">
        <is>
          <t>성명</t>
        </is>
      </c>
      <c r="E2" s="64" t="inlineStr">
        <is>
          <t>최초입사일</t>
        </is>
      </c>
      <c r="F2" s="65" t="inlineStr">
        <is>
          <t>그룹입사일</t>
        </is>
      </c>
      <c r="G2" s="67" t="inlineStr">
        <is>
          <t>6월 시간외근무</t>
        </is>
      </c>
      <c r="H2" s="67" t="inlineStr">
        <is>
          <t>7월 시간외근무</t>
        </is>
      </c>
      <c r="I2" s="68" t="inlineStr">
        <is>
          <t>8월 시간외근무</t>
        </is>
      </c>
      <c r="J2" s="63" t="inlineStr">
        <is>
          <t>합계</t>
        </is>
      </c>
      <c r="K2" s="69" t="inlineStr">
        <is>
          <t>초과시간</t>
        </is>
      </c>
    </row>
    <row r="3" ht="19.9" customHeight="1" s="130">
      <c r="A3" s="55">
        <f>ROW()-2</f>
        <v/>
      </c>
      <c r="B3" s="56" t="inlineStr">
        <is>
          <t>세척실</t>
        </is>
      </c>
      <c r="C3" s="13" t="inlineStr">
        <is>
          <t>내용물</t>
        </is>
      </c>
      <c r="D3" s="14" t="inlineStr">
        <is>
          <t>강민석</t>
        </is>
      </c>
      <c r="E3" s="57" t="inlineStr">
        <is>
          <t>2025-08-28</t>
        </is>
      </c>
      <c r="F3" s="58" t="n">
        <v>45901</v>
      </c>
      <c r="G3" s="166" t="n">
        <v>38</v>
      </c>
      <c r="H3" s="167" t="n">
        <v>40</v>
      </c>
      <c r="I3" s="168" t="n">
        <v>31.5</v>
      </c>
      <c r="J3" s="169">
        <f>SUM(G3:I3)</f>
        <v/>
      </c>
      <c r="K3" s="62" t="n"/>
      <c r="L3" s="47">
        <f>52*3</f>
        <v/>
      </c>
      <c r="M3" s="70">
        <f>COUNTIF(J3:J153,"&gt;156")</f>
        <v/>
      </c>
    </row>
    <row r="4" ht="19.9" customHeight="1" s="130">
      <c r="A4" s="3">
        <f>ROW()-2</f>
        <v/>
      </c>
      <c r="B4" s="4" t="inlineStr">
        <is>
          <t>적재실</t>
        </is>
      </c>
      <c r="C4" s="5" t="inlineStr">
        <is>
          <t>F&amp;C사원(로봇)</t>
        </is>
      </c>
      <c r="D4" s="6" t="inlineStr">
        <is>
          <t>강충신</t>
        </is>
      </c>
      <c r="E4" s="22" t="n">
        <v>43710</v>
      </c>
      <c r="F4" s="21" t="n">
        <v>44348</v>
      </c>
      <c r="G4" s="170" t="n">
        <v>21.5</v>
      </c>
      <c r="H4" s="171" t="n">
        <v>32</v>
      </c>
      <c r="I4" s="172" t="n">
        <v>13</v>
      </c>
      <c r="J4" s="173">
        <f>SUM(G4:I4)</f>
        <v/>
      </c>
      <c r="K4" s="49" t="n"/>
    </row>
    <row r="5" ht="19.9" customHeight="1" s="130">
      <c r="A5" s="3">
        <f>ROW()-2</f>
        <v/>
      </c>
      <c r="B5" s="4" t="inlineStr">
        <is>
          <t>내용물 관리</t>
        </is>
      </c>
      <c r="C5" s="5" t="inlineStr">
        <is>
          <t>내용물</t>
        </is>
      </c>
      <c r="D5" s="6" t="inlineStr">
        <is>
          <t>고현범</t>
        </is>
      </c>
      <c r="E5" s="22" t="n">
        <v>44417</v>
      </c>
      <c r="F5" s="23" t="n">
        <v>44417</v>
      </c>
      <c r="G5" s="170" t="n">
        <v>62</v>
      </c>
      <c r="H5" s="171" t="n">
        <v>43.5</v>
      </c>
      <c r="I5" s="172" t="n">
        <v>21</v>
      </c>
      <c r="J5" s="173">
        <f>SUM(G5:I5)</f>
        <v/>
      </c>
      <c r="K5" s="49" t="n"/>
    </row>
    <row r="6" ht="19.9" customHeight="1" s="130">
      <c r="A6" s="3">
        <f>ROW()-2</f>
        <v/>
      </c>
      <c r="B6" s="4" t="inlineStr">
        <is>
          <t>포장재 창고</t>
        </is>
      </c>
      <c r="C6" s="7" t="inlineStr">
        <is>
          <t>현장관리</t>
        </is>
      </c>
      <c r="D6" s="6" t="inlineStr">
        <is>
          <t>구본희</t>
        </is>
      </c>
      <c r="E6" s="22" t="n">
        <v>45264</v>
      </c>
      <c r="F6" s="23" t="n">
        <v>45264</v>
      </c>
      <c r="G6" s="170" t="n">
        <v>28</v>
      </c>
      <c r="H6" s="171" t="n">
        <v>26</v>
      </c>
      <c r="I6" s="172" t="n">
        <v>17</v>
      </c>
      <c r="J6" s="173">
        <f>SUM(G6:I6)</f>
        <v/>
      </c>
      <c r="K6" s="49" t="n"/>
    </row>
    <row r="7" ht="19.9" customHeight="1" s="130">
      <c r="A7" s="3">
        <f>ROW()-2</f>
        <v/>
      </c>
      <c r="B7" s="4" t="inlineStr">
        <is>
          <t>공작/미화</t>
        </is>
      </c>
      <c r="C7" s="7" t="inlineStr">
        <is>
          <t>미화</t>
        </is>
      </c>
      <c r="D7" s="6" t="inlineStr">
        <is>
          <t>김경수</t>
        </is>
      </c>
      <c r="E7" s="22" t="n">
        <v>45887</v>
      </c>
      <c r="F7" s="24" t="n">
        <v>45887</v>
      </c>
      <c r="G7" s="170" t="n">
        <v>0</v>
      </c>
      <c r="H7" s="171" t="n">
        <v>8</v>
      </c>
      <c r="I7" s="172" t="n">
        <v>8</v>
      </c>
      <c r="J7" s="173">
        <f>SUM(G7:I7)</f>
        <v/>
      </c>
      <c r="K7" s="49" t="n"/>
    </row>
    <row r="8" ht="19.9" customHeight="1" s="130">
      <c r="A8" s="3">
        <f>ROW()-2</f>
        <v/>
      </c>
      <c r="B8" s="4" t="inlineStr">
        <is>
          <t>공작/미화</t>
        </is>
      </c>
      <c r="C8" s="7" t="inlineStr">
        <is>
          <t>미화(촉탁직)</t>
        </is>
      </c>
      <c r="D8" s="6" t="inlineStr">
        <is>
          <t>김금중</t>
        </is>
      </c>
      <c r="E8" s="22" t="n">
        <v>42800</v>
      </c>
      <c r="F8" s="23" t="n">
        <v>45635</v>
      </c>
      <c r="G8" s="170" t="n">
        <v>0</v>
      </c>
      <c r="H8" s="171" t="n">
        <v>8</v>
      </c>
      <c r="I8" s="172" t="n">
        <v>8</v>
      </c>
      <c r="J8" s="173">
        <f>SUM(G8:I8)</f>
        <v/>
      </c>
      <c r="K8" s="49" t="n"/>
    </row>
    <row r="9" ht="19.9" customHeight="1" s="130">
      <c r="A9" s="3">
        <f>ROW()-2</f>
        <v/>
      </c>
      <c r="B9" s="4" t="inlineStr">
        <is>
          <t>포장재 창고</t>
        </is>
      </c>
      <c r="C9" s="7" t="inlineStr">
        <is>
          <t>H&amp;B사원</t>
        </is>
      </c>
      <c r="D9" s="9" t="inlineStr">
        <is>
          <t>김병서</t>
        </is>
      </c>
      <c r="E9" s="22" t="n">
        <v>40909</v>
      </c>
      <c r="F9" s="23" t="n">
        <v>44197</v>
      </c>
      <c r="G9" s="174" t="n">
        <v>19.5</v>
      </c>
      <c r="H9" s="175" t="n">
        <v>13</v>
      </c>
      <c r="I9" s="172" t="n">
        <v>1.5</v>
      </c>
      <c r="J9" s="173">
        <f>SUM(G9:I9)</f>
        <v/>
      </c>
      <c r="K9" s="49" t="n"/>
    </row>
    <row r="10" ht="19.9" customHeight="1" s="130">
      <c r="A10" s="3">
        <f>ROW()-2</f>
        <v/>
      </c>
      <c r="B10" s="4" t="inlineStr">
        <is>
          <t>포장재 창고</t>
        </is>
      </c>
      <c r="C10" s="7" t="inlineStr">
        <is>
          <t>반장</t>
        </is>
      </c>
      <c r="D10" s="10" t="inlineStr">
        <is>
          <t>김상현</t>
        </is>
      </c>
      <c r="E10" s="22" t="n">
        <v>43108</v>
      </c>
      <c r="F10" s="23" t="n">
        <v>44197</v>
      </c>
      <c r="G10" s="176" t="n">
        <v>49.5</v>
      </c>
      <c r="H10" s="177" t="n">
        <v>51</v>
      </c>
      <c r="I10" s="172" t="n">
        <v>52</v>
      </c>
      <c r="J10" s="173">
        <f>SUM(G10:I10)</f>
        <v/>
      </c>
      <c r="K10" s="49" t="n"/>
    </row>
    <row r="11" ht="19.9" customHeight="1" s="130">
      <c r="A11" s="3">
        <f>ROW()-2</f>
        <v/>
      </c>
      <c r="B11" s="4" t="inlineStr">
        <is>
          <t>세척실</t>
        </is>
      </c>
      <c r="C11" s="7" t="inlineStr">
        <is>
          <t>설비</t>
        </is>
      </c>
      <c r="D11" s="9" t="inlineStr">
        <is>
          <t>김상훈</t>
        </is>
      </c>
      <c r="E11" s="22" t="n">
        <v>42654</v>
      </c>
      <c r="F11" s="23" t="n">
        <v>44197</v>
      </c>
      <c r="G11" s="174" t="n">
        <v>41.5</v>
      </c>
      <c r="H11" s="175" t="n">
        <v>41</v>
      </c>
      <c r="I11" s="172" t="n">
        <v>38</v>
      </c>
      <c r="J11" s="173">
        <f>SUM(G11:I11)</f>
        <v/>
      </c>
      <c r="K11" s="49" t="n"/>
    </row>
    <row r="12" ht="19.9" customHeight="1" s="130">
      <c r="A12" s="3">
        <f>ROW()-2</f>
        <v/>
      </c>
      <c r="B12" s="4" t="inlineStr">
        <is>
          <t>적재실</t>
        </is>
      </c>
      <c r="C12" s="7" t="inlineStr">
        <is>
          <t>H&amp;B사원</t>
        </is>
      </c>
      <c r="D12" s="9" t="inlineStr">
        <is>
          <t>김성준</t>
        </is>
      </c>
      <c r="E12" s="22" t="n">
        <v>41862</v>
      </c>
      <c r="F12" s="23" t="n">
        <v>44197</v>
      </c>
      <c r="G12" s="174" t="n">
        <v>18</v>
      </c>
      <c r="H12" s="175" t="n">
        <v>32</v>
      </c>
      <c r="I12" s="172" t="n">
        <v>12</v>
      </c>
      <c r="J12" s="173">
        <f>SUM(G12:I12)</f>
        <v/>
      </c>
      <c r="K12" s="49" t="n"/>
    </row>
    <row r="13" ht="19.9" customHeight="1" s="130">
      <c r="A13" s="3">
        <f>ROW()-2</f>
        <v/>
      </c>
      <c r="B13" s="4" t="inlineStr">
        <is>
          <t>세척실</t>
        </is>
      </c>
      <c r="C13" s="7" t="inlineStr">
        <is>
          <t>염모제</t>
        </is>
      </c>
      <c r="D13" s="9" t="inlineStr">
        <is>
          <t>김영두</t>
        </is>
      </c>
      <c r="E13" s="22" t="n">
        <v>42857</v>
      </c>
      <c r="F13" s="23" t="n">
        <v>44197</v>
      </c>
      <c r="G13" s="174" t="n">
        <v>85</v>
      </c>
      <c r="H13" s="175" t="n">
        <v>84</v>
      </c>
      <c r="I13" s="172" t="n">
        <v>94</v>
      </c>
      <c r="J13" s="173">
        <f>SUM(G13:I13)</f>
        <v/>
      </c>
      <c r="K13" s="178">
        <f>J13-$L$3</f>
        <v/>
      </c>
    </row>
    <row r="14" ht="19.9" customHeight="1" s="130">
      <c r="A14" s="3">
        <f>ROW()-2</f>
        <v/>
      </c>
      <c r="B14" s="4" t="inlineStr">
        <is>
          <t>적재실</t>
        </is>
      </c>
      <c r="C14" s="7" t="inlineStr">
        <is>
          <t>F&amp;C사원(로봇)</t>
        </is>
      </c>
      <c r="D14" s="9" t="inlineStr">
        <is>
          <t>김영준</t>
        </is>
      </c>
      <c r="E14" s="22" t="n">
        <v>42094</v>
      </c>
      <c r="F14" s="23" t="n">
        <v>44197</v>
      </c>
      <c r="G14" s="174" t="n">
        <v>51</v>
      </c>
      <c r="H14" s="175" t="n">
        <v>67.5</v>
      </c>
      <c r="I14" s="172" t="n">
        <v>73.5</v>
      </c>
      <c r="J14" s="173">
        <f>SUM(G14:I14)</f>
        <v/>
      </c>
      <c r="K14" s="178">
        <f>J14-$L$3</f>
        <v/>
      </c>
    </row>
    <row r="15" ht="19.9" customHeight="1" s="130">
      <c r="A15" s="3">
        <f>ROW()-2</f>
        <v/>
      </c>
      <c r="B15" s="4" t="inlineStr">
        <is>
          <t>포장재 창고</t>
        </is>
      </c>
      <c r="C15" s="7" t="inlineStr">
        <is>
          <t>사원</t>
        </is>
      </c>
      <c r="D15" s="9" t="inlineStr">
        <is>
          <t>김의수</t>
        </is>
      </c>
      <c r="E15" s="22" t="n">
        <v>42800</v>
      </c>
      <c r="F15" s="23" t="n">
        <v>44197</v>
      </c>
      <c r="G15" s="174" t="n">
        <v>0</v>
      </c>
      <c r="H15" s="175" t="n">
        <v>0</v>
      </c>
      <c r="I15" s="172" t="n">
        <v>0</v>
      </c>
      <c r="J15" s="173">
        <f>SUM(G15:I15)</f>
        <v/>
      </c>
      <c r="K15" s="49" t="n"/>
    </row>
    <row r="16" ht="19.9" customHeight="1" s="130">
      <c r="A16" s="3" t="n"/>
      <c r="B16" s="4" t="inlineStr">
        <is>
          <t>세척실</t>
        </is>
      </c>
      <c r="C16" s="7" t="inlineStr">
        <is>
          <t>오리콘</t>
        </is>
      </c>
      <c r="D16" s="9" t="inlineStr">
        <is>
          <t>김종성</t>
        </is>
      </c>
      <c r="E16" s="25" t="n">
        <v>46076</v>
      </c>
      <c r="F16" s="26" t="n">
        <v>46143</v>
      </c>
      <c r="G16" s="174" t="n">
        <v>44</v>
      </c>
      <c r="H16" s="175" t="n">
        <v>38</v>
      </c>
      <c r="I16" s="172" t="n">
        <v>23</v>
      </c>
      <c r="J16" s="173">
        <f>SUM(G16:I16)</f>
        <v/>
      </c>
      <c r="K16" s="49" t="n"/>
    </row>
    <row r="17" ht="19.9" customHeight="1" s="130">
      <c r="A17" s="3">
        <f>ROW()-2</f>
        <v/>
      </c>
      <c r="B17" s="4" t="inlineStr">
        <is>
          <t>적재실</t>
        </is>
      </c>
      <c r="C17" s="5" t="inlineStr">
        <is>
          <t>사원</t>
        </is>
      </c>
      <c r="D17" s="6" t="inlineStr">
        <is>
          <t>김종진</t>
        </is>
      </c>
      <c r="E17" s="22" t="n">
        <v>44756</v>
      </c>
      <c r="F17" s="23" t="n">
        <v>44805</v>
      </c>
      <c r="G17" s="170" t="n">
        <v>36</v>
      </c>
      <c r="H17" s="171" t="n">
        <v>39</v>
      </c>
      <c r="I17" s="172" t="n">
        <v>41</v>
      </c>
      <c r="J17" s="173">
        <f>SUM(G17:I17)</f>
        <v/>
      </c>
      <c r="K17" s="49" t="n"/>
    </row>
    <row r="18" ht="19.9" customHeight="1" s="130">
      <c r="A18" s="3">
        <f>ROW()-2</f>
        <v/>
      </c>
      <c r="B18" s="4" t="inlineStr">
        <is>
          <t>포장재 창고</t>
        </is>
      </c>
      <c r="C18" s="7" t="inlineStr">
        <is>
          <t>H&amp;B사원</t>
        </is>
      </c>
      <c r="D18" s="9" t="inlineStr">
        <is>
          <t>김종필</t>
        </is>
      </c>
      <c r="E18" s="22" t="n">
        <v>40817</v>
      </c>
      <c r="F18" s="23" t="n">
        <v>44197</v>
      </c>
      <c r="G18" s="174" t="n">
        <v>1</v>
      </c>
      <c r="H18" s="175" t="n">
        <v>16</v>
      </c>
      <c r="I18" s="172" t="n">
        <v>8</v>
      </c>
      <c r="J18" s="173">
        <f>SUM(G18:I18)</f>
        <v/>
      </c>
      <c r="K18" s="49" t="n"/>
    </row>
    <row r="19" ht="19.9" customHeight="1" s="130">
      <c r="A19" s="3">
        <f>ROW()-2</f>
        <v/>
      </c>
      <c r="B19" s="4" t="inlineStr">
        <is>
          <t>원료 창고</t>
        </is>
      </c>
      <c r="C19" s="7" t="inlineStr">
        <is>
          <t>원료창고</t>
        </is>
      </c>
      <c r="D19" s="9" t="inlineStr">
        <is>
          <t>김종환</t>
        </is>
      </c>
      <c r="E19" s="22" t="n">
        <v>41506</v>
      </c>
      <c r="F19" s="23" t="n">
        <v>44197</v>
      </c>
      <c r="G19" s="174" t="n">
        <v>46.5</v>
      </c>
      <c r="H19" s="175" t="n">
        <v>33</v>
      </c>
      <c r="I19" s="172" t="n">
        <v>38.5</v>
      </c>
      <c r="J19" s="173">
        <f>SUM(G19:I19)</f>
        <v/>
      </c>
      <c r="K19" s="49" t="n"/>
    </row>
    <row r="20" ht="19.9" customHeight="1" s="130">
      <c r="A20" s="3">
        <f>ROW()-2</f>
        <v/>
      </c>
      <c r="B20" s="4" t="inlineStr">
        <is>
          <t>적재실</t>
        </is>
      </c>
      <c r="C20" s="5" t="inlineStr">
        <is>
          <t>정규직 전환</t>
        </is>
      </c>
      <c r="D20" s="6" t="inlineStr">
        <is>
          <t>김춘식</t>
        </is>
      </c>
      <c r="E20" s="20" t="inlineStr">
        <is>
          <t>2021-12-30</t>
        </is>
      </c>
      <c r="F20" s="23" t="n">
        <v>44652</v>
      </c>
      <c r="G20" s="170" t="n">
        <v>9.5</v>
      </c>
      <c r="H20" s="171" t="n">
        <v>8</v>
      </c>
      <c r="I20" s="172" t="n">
        <v>9</v>
      </c>
      <c r="J20" s="173">
        <f>SUM(G20:I20)</f>
        <v/>
      </c>
      <c r="K20" s="49" t="n"/>
    </row>
    <row r="21" ht="19.9" customHeight="1" s="130">
      <c r="A21" s="3">
        <f>ROW()-2</f>
        <v/>
      </c>
      <c r="B21" s="4" t="inlineStr">
        <is>
          <t>포장재 창고</t>
        </is>
      </c>
      <c r="C21" s="7" t="inlineStr">
        <is>
          <t>H&amp;B사원</t>
        </is>
      </c>
      <c r="D21" s="9" t="inlineStr">
        <is>
          <t>김태준</t>
        </is>
      </c>
      <c r="E21" s="22" t="n">
        <v>38991</v>
      </c>
      <c r="F21" s="23" t="n">
        <v>44197</v>
      </c>
      <c r="G21" s="174" t="n">
        <v>14</v>
      </c>
      <c r="H21" s="175" t="n">
        <v>9</v>
      </c>
      <c r="I21" s="172" t="n">
        <v>12</v>
      </c>
      <c r="J21" s="173">
        <f>SUM(G21:I21)</f>
        <v/>
      </c>
      <c r="K21" s="49" t="n"/>
    </row>
    <row r="22" ht="19.9" customHeight="1" s="130">
      <c r="A22" s="3">
        <f>ROW()-2</f>
        <v/>
      </c>
      <c r="B22" s="4" t="inlineStr">
        <is>
          <t>세척실</t>
        </is>
      </c>
      <c r="C22" s="7" t="inlineStr">
        <is>
          <t>염모제</t>
        </is>
      </c>
      <c r="D22" s="10" t="inlineStr">
        <is>
          <t>김필수</t>
        </is>
      </c>
      <c r="E22" s="22" t="n">
        <v>43272</v>
      </c>
      <c r="F22" s="23" t="n">
        <v>44197</v>
      </c>
      <c r="G22" s="176" t="n">
        <v>66</v>
      </c>
      <c r="H22" s="177" t="n">
        <v>62</v>
      </c>
      <c r="I22" s="172" t="n">
        <v>59</v>
      </c>
      <c r="J22" s="173">
        <f>SUM(G22:I22)</f>
        <v/>
      </c>
      <c r="K22" s="178">
        <f>J22-$L$3</f>
        <v/>
      </c>
    </row>
    <row r="23" ht="19.9" customHeight="1" s="130">
      <c r="A23" s="3">
        <f>ROW()-2</f>
        <v/>
      </c>
      <c r="B23" s="4" t="inlineStr">
        <is>
          <t>공작/미화</t>
        </is>
      </c>
      <c r="C23" s="7" t="inlineStr">
        <is>
          <t>세탁</t>
        </is>
      </c>
      <c r="D23" s="10" t="inlineStr">
        <is>
          <t>김향미</t>
        </is>
      </c>
      <c r="E23" s="22" t="n">
        <v>42151</v>
      </c>
      <c r="F23" s="23" t="n">
        <v>44621</v>
      </c>
      <c r="G23" s="176" t="n">
        <v>30.5</v>
      </c>
      <c r="H23" s="177" t="n">
        <v>32.5</v>
      </c>
      <c r="I23" s="172" t="n">
        <v>22.5</v>
      </c>
      <c r="J23" s="173">
        <f>SUM(G23:I23)</f>
        <v/>
      </c>
      <c r="K23" s="49" t="n"/>
    </row>
    <row r="24" ht="19.9" customHeight="1" s="130">
      <c r="A24" s="3">
        <f>ROW()-2</f>
        <v/>
      </c>
      <c r="B24" s="4" t="inlineStr">
        <is>
          <t>세척실</t>
        </is>
      </c>
      <c r="C24" s="7" t="inlineStr">
        <is>
          <t>H&amp;B사원(로봇)</t>
        </is>
      </c>
      <c r="D24" s="10" t="inlineStr">
        <is>
          <t>김홍중</t>
        </is>
      </c>
      <c r="E24" s="22" t="n">
        <v>45156</v>
      </c>
      <c r="F24" s="23" t="n">
        <v>45383</v>
      </c>
      <c r="G24" s="176" t="n">
        <v>21.5</v>
      </c>
      <c r="H24" s="177" t="n">
        <v>30.5</v>
      </c>
      <c r="I24" s="172" t="n">
        <v>18</v>
      </c>
      <c r="J24" s="173">
        <f>SUM(G24:I24)</f>
        <v/>
      </c>
      <c r="K24" s="49" t="n"/>
    </row>
    <row r="25" ht="19.9" customHeight="1" s="130">
      <c r="A25" s="3">
        <f>ROW()-2</f>
        <v/>
      </c>
      <c r="B25" s="4" t="inlineStr">
        <is>
          <t>공작/미화</t>
        </is>
      </c>
      <c r="C25" s="7" t="inlineStr">
        <is>
          <t>선반,밀링,기계조립(펌프,모터)</t>
        </is>
      </c>
      <c r="D25" s="10" t="inlineStr">
        <is>
          <t>마정수</t>
        </is>
      </c>
      <c r="E25" s="22" t="n">
        <v>41396</v>
      </c>
      <c r="F25" s="23" t="n">
        <v>45068</v>
      </c>
      <c r="G25" s="176" t="n">
        <v>0</v>
      </c>
      <c r="H25" s="177" t="n">
        <v>27</v>
      </c>
      <c r="I25" s="172" t="n">
        <v>8</v>
      </c>
      <c r="J25" s="173">
        <f>SUM(G25:I25)</f>
        <v/>
      </c>
      <c r="K25" s="49" t="n"/>
    </row>
    <row r="26" ht="19.9" customHeight="1" s="130">
      <c r="A26" s="3">
        <f>ROW()-2</f>
        <v/>
      </c>
      <c r="B26" s="4" t="inlineStr">
        <is>
          <t>포장재 창고</t>
        </is>
      </c>
      <c r="C26" s="7" t="inlineStr">
        <is>
          <t>치약 포장재</t>
        </is>
      </c>
      <c r="D26" s="10" t="inlineStr">
        <is>
          <t>민상홍</t>
        </is>
      </c>
      <c r="E26" s="22" t="n">
        <v>44295</v>
      </c>
      <c r="F26" s="23" t="n">
        <v>44562</v>
      </c>
      <c r="G26" s="176" t="n">
        <v>21</v>
      </c>
      <c r="H26" s="177" t="n">
        <v>20.5</v>
      </c>
      <c r="I26" s="172" t="n">
        <v>0</v>
      </c>
      <c r="J26" s="173">
        <f>SUM(G26:I26)</f>
        <v/>
      </c>
      <c r="K26" s="49" t="n"/>
    </row>
    <row r="27" ht="19.9" customHeight="1" s="130">
      <c r="A27" s="3">
        <f>ROW()-2</f>
        <v/>
      </c>
      <c r="B27" s="4" t="inlineStr">
        <is>
          <t>적재실</t>
        </is>
      </c>
      <c r="C27" s="7" t="inlineStr">
        <is>
          <t>사원</t>
        </is>
      </c>
      <c r="D27" s="10" t="inlineStr">
        <is>
          <t>박다영</t>
        </is>
      </c>
      <c r="E27" s="20" t="inlineStr">
        <is>
          <t>2022-10-24</t>
        </is>
      </c>
      <c r="F27" s="23" t="n">
        <v>44896</v>
      </c>
      <c r="G27" s="176" t="n">
        <v>18.5</v>
      </c>
      <c r="H27" s="177" t="n">
        <v>23.5</v>
      </c>
      <c r="I27" s="172" t="n">
        <v>16</v>
      </c>
      <c r="J27" s="173">
        <f>SUM(G27:I27)</f>
        <v/>
      </c>
      <c r="K27" s="49" t="n"/>
    </row>
    <row r="28" ht="19.9" customHeight="1" s="130">
      <c r="A28" s="3">
        <f>ROW()-2</f>
        <v/>
      </c>
      <c r="B28" s="4" t="inlineStr">
        <is>
          <t>적재실</t>
        </is>
      </c>
      <c r="C28" s="7" t="inlineStr">
        <is>
          <t>현장관리(로봇)</t>
        </is>
      </c>
      <c r="D28" s="6" t="inlineStr">
        <is>
          <t>박미춘</t>
        </is>
      </c>
      <c r="E28" s="22" t="n">
        <v>42030</v>
      </c>
      <c r="F28" s="23" t="n">
        <v>44197</v>
      </c>
      <c r="G28" s="170" t="n">
        <v>49</v>
      </c>
      <c r="H28" s="171" t="n">
        <v>71.5</v>
      </c>
      <c r="I28" s="172" t="n">
        <v>39.5</v>
      </c>
      <c r="J28" s="173">
        <f>SUM(G28:I28)</f>
        <v/>
      </c>
      <c r="K28" s="178">
        <f>J28-$L$3</f>
        <v/>
      </c>
    </row>
    <row r="29" ht="19.9" customHeight="1" s="130">
      <c r="A29" s="3">
        <f>ROW()-2</f>
        <v/>
      </c>
      <c r="B29" s="4" t="inlineStr">
        <is>
          <t>적재실</t>
        </is>
      </c>
      <c r="C29" s="7" t="inlineStr">
        <is>
          <t>H&amp;B사원</t>
        </is>
      </c>
      <c r="D29" s="9" t="inlineStr">
        <is>
          <t>박민철</t>
        </is>
      </c>
      <c r="E29" s="22" t="n">
        <v>40696</v>
      </c>
      <c r="F29" s="23" t="n">
        <v>44197</v>
      </c>
      <c r="G29" s="174" t="n">
        <v>25</v>
      </c>
      <c r="H29" s="175" t="n">
        <v>18</v>
      </c>
      <c r="I29" s="172" t="n">
        <v>26</v>
      </c>
      <c r="J29" s="173">
        <f>SUM(G29:I29)</f>
        <v/>
      </c>
      <c r="K29" s="49" t="n"/>
    </row>
    <row r="30" ht="19.9" customHeight="1" s="130">
      <c r="A30" s="3">
        <f>ROW()-2</f>
        <v/>
      </c>
      <c r="B30" s="4" t="inlineStr">
        <is>
          <t>관리자</t>
        </is>
      </c>
      <c r="C30" s="7" t="inlineStr">
        <is>
          <t>안전관리자</t>
        </is>
      </c>
      <c r="D30" s="9" t="inlineStr">
        <is>
          <t>박병용</t>
        </is>
      </c>
      <c r="E30" s="22" t="n">
        <v>45754</v>
      </c>
      <c r="F30" s="24" t="n">
        <v>45754</v>
      </c>
      <c r="G30" s="174" t="n">
        <v>8</v>
      </c>
      <c r="H30" s="175" t="n">
        <v>0</v>
      </c>
      <c r="I30" s="172" t="n">
        <v>2.5</v>
      </c>
      <c r="J30" s="173">
        <f>SUM(G30:I30)</f>
        <v/>
      </c>
      <c r="K30" s="49" t="n"/>
    </row>
    <row r="31" ht="19.9" customHeight="1" s="130">
      <c r="A31" s="3">
        <f>ROW()-2</f>
        <v/>
      </c>
      <c r="B31" s="4" t="inlineStr">
        <is>
          <t>원료 창고</t>
        </is>
      </c>
      <c r="C31" s="7" t="inlineStr">
        <is>
          <t>치약분채</t>
        </is>
      </c>
      <c r="D31" s="9" t="inlineStr">
        <is>
          <t>박성민</t>
        </is>
      </c>
      <c r="E31" s="22" t="n">
        <v>43090</v>
      </c>
      <c r="F31" s="23" t="n">
        <v>44197</v>
      </c>
      <c r="G31" s="174" t="n">
        <v>6</v>
      </c>
      <c r="H31" s="175" t="n">
        <v>0</v>
      </c>
      <c r="I31" s="172" t="n">
        <v>0</v>
      </c>
      <c r="J31" s="173">
        <f>SUM(G31:I31)</f>
        <v/>
      </c>
      <c r="K31" s="49" t="n"/>
    </row>
    <row r="32" ht="19.9" customHeight="1" s="130">
      <c r="A32" s="3">
        <f>ROW()-2</f>
        <v/>
      </c>
      <c r="B32" s="4" t="inlineStr">
        <is>
          <t>원료 창고</t>
        </is>
      </c>
      <c r="C32" s="7" t="inlineStr">
        <is>
          <t>원료창고</t>
        </is>
      </c>
      <c r="D32" s="9" t="inlineStr">
        <is>
          <t>박정현</t>
        </is>
      </c>
      <c r="E32" s="20" t="inlineStr">
        <is>
          <t>2023-08-07</t>
        </is>
      </c>
      <c r="F32" s="24" t="n">
        <v>45200</v>
      </c>
      <c r="G32" s="174" t="n">
        <v>42</v>
      </c>
      <c r="H32" s="175" t="n">
        <v>32</v>
      </c>
      <c r="I32" s="172" t="n">
        <v>38</v>
      </c>
      <c r="J32" s="173">
        <f>SUM(G32:I32)</f>
        <v/>
      </c>
      <c r="K32" s="49" t="n"/>
    </row>
    <row r="33" ht="19.9" customHeight="1" s="130">
      <c r="A33" s="3">
        <f>ROW()-2</f>
        <v/>
      </c>
      <c r="B33" s="4" t="inlineStr">
        <is>
          <t>세척실</t>
        </is>
      </c>
      <c r="C33" s="7" t="inlineStr">
        <is>
          <t>포터블</t>
        </is>
      </c>
      <c r="D33" s="9" t="inlineStr">
        <is>
          <t>박태근</t>
        </is>
      </c>
      <c r="E33" s="22" t="n">
        <v>41925</v>
      </c>
      <c r="F33" s="23" t="n">
        <v>44197</v>
      </c>
      <c r="G33" s="174" t="n">
        <v>91</v>
      </c>
      <c r="H33" s="175" t="n">
        <v>90</v>
      </c>
      <c r="I33" s="172" t="n">
        <v>108.5</v>
      </c>
      <c r="J33" s="173">
        <f>SUM(G33:I33)</f>
        <v/>
      </c>
      <c r="K33" s="178">
        <f>J33-$L$3</f>
        <v/>
      </c>
    </row>
    <row r="34" ht="19.9" customHeight="1" s="130">
      <c r="A34" s="3">
        <f>ROW()-2</f>
        <v/>
      </c>
      <c r="B34" s="4" t="inlineStr">
        <is>
          <t>내용물 관리</t>
        </is>
      </c>
      <c r="C34" s="7" t="inlineStr">
        <is>
          <t>H&amp;B사원</t>
        </is>
      </c>
      <c r="D34" s="9" t="inlineStr">
        <is>
          <t>박효</t>
        </is>
      </c>
      <c r="E34" s="22" t="n">
        <v>40179</v>
      </c>
      <c r="F34" s="23" t="n">
        <v>44197</v>
      </c>
      <c r="G34" s="174" t="n">
        <v>56</v>
      </c>
      <c r="H34" s="175" t="n">
        <v>60</v>
      </c>
      <c r="I34" s="172" t="n">
        <v>61</v>
      </c>
      <c r="J34" s="173">
        <f>SUM(G34:I34)</f>
        <v/>
      </c>
      <c r="K34" s="178">
        <f>J34-$L$3</f>
        <v/>
      </c>
    </row>
    <row r="35" ht="19.9" customHeight="1" s="130">
      <c r="A35" s="3">
        <f>ROW()-2</f>
        <v/>
      </c>
      <c r="B35" s="4" t="inlineStr">
        <is>
          <t>작업지휘자</t>
        </is>
      </c>
      <c r="C35" s="7" t="n"/>
      <c r="D35" s="9" t="inlineStr">
        <is>
          <t>배현진</t>
        </is>
      </c>
      <c r="E35" s="20" t="inlineStr">
        <is>
          <t>2024-12-30</t>
        </is>
      </c>
      <c r="F35" s="23" t="n">
        <v>45748</v>
      </c>
      <c r="G35" s="174" t="n">
        <v>0</v>
      </c>
      <c r="H35" s="175" t="n">
        <v>0</v>
      </c>
      <c r="I35" s="172" t="n">
        <v>0</v>
      </c>
      <c r="J35" s="173">
        <f>SUM(G35:I35)</f>
        <v/>
      </c>
      <c r="K35" s="49" t="n"/>
    </row>
    <row r="36" ht="19.9" customHeight="1" s="130">
      <c r="A36" s="3">
        <f>ROW()-2</f>
        <v/>
      </c>
      <c r="B36" s="4" t="inlineStr">
        <is>
          <t>포장재 창고</t>
        </is>
      </c>
      <c r="C36" s="7" t="inlineStr">
        <is>
          <t>H&amp;B사원</t>
        </is>
      </c>
      <c r="D36" s="9" t="inlineStr">
        <is>
          <t>서인성</t>
        </is>
      </c>
      <c r="E36" s="22" t="n">
        <v>39873</v>
      </c>
      <c r="F36" s="23" t="n">
        <v>44197</v>
      </c>
      <c r="G36" s="174" t="n">
        <v>15</v>
      </c>
      <c r="H36" s="175" t="n">
        <v>37</v>
      </c>
      <c r="I36" s="172" t="n">
        <v>45</v>
      </c>
      <c r="J36" s="173">
        <f>SUM(G36:I36)</f>
        <v/>
      </c>
      <c r="K36" s="49" t="n"/>
    </row>
    <row r="37" ht="19.9" customHeight="1" s="130">
      <c r="A37" s="3">
        <f>ROW()-2</f>
        <v/>
      </c>
      <c r="B37" s="4" t="inlineStr">
        <is>
          <t>포장재 창고</t>
        </is>
      </c>
      <c r="C37" s="7" t="inlineStr">
        <is>
          <t>H&amp;B사원</t>
        </is>
      </c>
      <c r="D37" s="9" t="inlineStr">
        <is>
          <t>서재권</t>
        </is>
      </c>
      <c r="E37" s="22" t="n">
        <v>40118</v>
      </c>
      <c r="F37" s="23" t="n">
        <v>44197</v>
      </c>
      <c r="G37" s="174" t="n">
        <v>64</v>
      </c>
      <c r="H37" s="175" t="n">
        <v>68</v>
      </c>
      <c r="I37" s="172" t="n">
        <v>72</v>
      </c>
      <c r="J37" s="173">
        <f>SUM(G37:I37)</f>
        <v/>
      </c>
      <c r="K37" s="178">
        <f>J37-$L$3</f>
        <v/>
      </c>
    </row>
    <row r="38" ht="19.9" customHeight="1" s="130">
      <c r="A38" s="3">
        <f>ROW()-2</f>
        <v/>
      </c>
      <c r="B38" s="4" t="inlineStr">
        <is>
          <t>세척실</t>
        </is>
      </c>
      <c r="C38" s="7" t="inlineStr">
        <is>
          <t>포터블</t>
        </is>
      </c>
      <c r="D38" s="9" t="inlineStr">
        <is>
          <t>선우찬</t>
        </is>
      </c>
      <c r="E38" s="22" t="n">
        <v>39479</v>
      </c>
      <c r="F38" s="23" t="n">
        <v>44197</v>
      </c>
      <c r="G38" s="174" t="n">
        <v>73.5</v>
      </c>
      <c r="H38" s="175" t="n">
        <v>69.5</v>
      </c>
      <c r="I38" s="172" t="n">
        <v>63</v>
      </c>
      <c r="J38" s="173">
        <f>SUM(G38:I38)</f>
        <v/>
      </c>
      <c r="K38" s="178">
        <f>J38-$L$3</f>
        <v/>
      </c>
    </row>
    <row r="39" ht="19.9" customHeight="1" s="130">
      <c r="A39" s="3">
        <f>ROW()-2</f>
        <v/>
      </c>
      <c r="B39" s="4" t="inlineStr">
        <is>
          <t>포장재 창고</t>
        </is>
      </c>
      <c r="C39" s="7" t="inlineStr">
        <is>
          <t>H&amp;B사원</t>
        </is>
      </c>
      <c r="D39" s="9" t="inlineStr">
        <is>
          <t>송준섭</t>
        </is>
      </c>
      <c r="E39" s="22" t="n">
        <v>41852</v>
      </c>
      <c r="F39" s="23" t="n">
        <v>44197</v>
      </c>
      <c r="G39" s="174" t="n">
        <v>61</v>
      </c>
      <c r="H39" s="175" t="n">
        <v>53</v>
      </c>
      <c r="I39" s="172" t="n">
        <v>40</v>
      </c>
      <c r="J39" s="173">
        <f>SUM(G39:I39)</f>
        <v/>
      </c>
      <c r="K39" s="49" t="n"/>
    </row>
    <row r="40" ht="19.9" customHeight="1" s="130">
      <c r="A40" s="3">
        <f>ROW()-2</f>
        <v/>
      </c>
      <c r="B40" s="4" t="inlineStr">
        <is>
          <t>공작/미화</t>
        </is>
      </c>
      <c r="C40" s="7" t="inlineStr">
        <is>
          <t>전기시설관리</t>
        </is>
      </c>
      <c r="D40" s="9" t="inlineStr">
        <is>
          <t>신성수</t>
        </is>
      </c>
      <c r="E40" s="22" t="n">
        <v>42751</v>
      </c>
      <c r="F40" s="23" t="n">
        <v>44621</v>
      </c>
      <c r="G40" s="174" t="n">
        <v>60</v>
      </c>
      <c r="H40" s="175" t="n">
        <v>73</v>
      </c>
      <c r="I40" s="172" t="n">
        <v>56.5</v>
      </c>
      <c r="J40" s="173">
        <f>SUM(G40:I40)</f>
        <v/>
      </c>
      <c r="K40" s="178">
        <f>J40-$L$3</f>
        <v/>
      </c>
    </row>
    <row r="41" ht="19.9" customHeight="1" s="130">
      <c r="A41" s="3">
        <f>ROW()-2</f>
        <v/>
      </c>
      <c r="B41" s="4" t="inlineStr">
        <is>
          <t>포장재 창고</t>
        </is>
      </c>
      <c r="C41" s="7" t="inlineStr">
        <is>
          <t>튜브 포장재</t>
        </is>
      </c>
      <c r="D41" s="9" t="inlineStr">
        <is>
          <t>신원섭</t>
        </is>
      </c>
      <c r="E41" s="20" t="inlineStr">
        <is>
          <t>2025-08-21</t>
        </is>
      </c>
      <c r="F41" s="23" t="n">
        <v>45962</v>
      </c>
      <c r="G41" s="174" t="n">
        <v>25</v>
      </c>
      <c r="H41" s="175" t="n">
        <v>36</v>
      </c>
      <c r="I41" s="172" t="n">
        <v>25</v>
      </c>
      <c r="J41" s="173">
        <f>SUM(G41:I41)</f>
        <v/>
      </c>
      <c r="K41" s="49" t="n"/>
    </row>
    <row r="42" ht="19.9" customHeight="1" s="130">
      <c r="A42" s="3">
        <f>ROW()-2</f>
        <v/>
      </c>
      <c r="B42" s="4" t="inlineStr">
        <is>
          <t>원료 창고</t>
        </is>
      </c>
      <c r="C42" s="7" t="inlineStr">
        <is>
          <t>사원</t>
        </is>
      </c>
      <c r="D42" s="9" t="inlineStr">
        <is>
          <t>안상범</t>
        </is>
      </c>
      <c r="E42" s="22" t="n">
        <v>42457</v>
      </c>
      <c r="F42" s="23" t="n">
        <v>44197</v>
      </c>
      <c r="G42" s="174" t="n">
        <v>46.5</v>
      </c>
      <c r="H42" s="175" t="n">
        <v>40.5</v>
      </c>
      <c r="I42" s="172" t="n">
        <v>42</v>
      </c>
      <c r="J42" s="173">
        <f>SUM(G42:I42)</f>
        <v/>
      </c>
      <c r="K42" s="49" t="n"/>
    </row>
    <row r="43" ht="19.9" customHeight="1" s="130">
      <c r="A43" s="3">
        <f>ROW()-2</f>
        <v/>
      </c>
      <c r="B43" s="4" t="inlineStr">
        <is>
          <t>공작/미화</t>
        </is>
      </c>
      <c r="C43" s="7" t="inlineStr">
        <is>
          <t>용접,배관</t>
        </is>
      </c>
      <c r="D43" s="9" t="inlineStr">
        <is>
          <t>안인근</t>
        </is>
      </c>
      <c r="E43" s="22" t="n">
        <v>44991</v>
      </c>
      <c r="F43" s="23" t="n">
        <v>44991</v>
      </c>
      <c r="G43" s="174" t="n">
        <v>0.5</v>
      </c>
      <c r="H43" s="175" t="n">
        <v>25.5</v>
      </c>
      <c r="I43" s="172" t="n">
        <v>14.5</v>
      </c>
      <c r="J43" s="173">
        <f>SUM(G43:I43)</f>
        <v/>
      </c>
      <c r="K43" s="49" t="n"/>
    </row>
    <row r="44" ht="19.9" customHeight="1" s="130">
      <c r="A44" s="3">
        <f>ROW()-2</f>
        <v/>
      </c>
      <c r="B44" s="4" t="inlineStr">
        <is>
          <t>세척실</t>
        </is>
      </c>
      <c r="C44" s="5" t="inlineStr">
        <is>
          <t>H&amp;B사원</t>
        </is>
      </c>
      <c r="D44" s="6" t="inlineStr">
        <is>
          <t>양지웅</t>
        </is>
      </c>
      <c r="E44" s="22" t="n">
        <v>44229</v>
      </c>
      <c r="F44" s="23" t="n">
        <v>44229</v>
      </c>
      <c r="G44" s="170" t="n">
        <v>9.5</v>
      </c>
      <c r="H44" s="171" t="n">
        <v>15.5</v>
      </c>
      <c r="I44" s="172" t="n">
        <v>6.5</v>
      </c>
      <c r="J44" s="173">
        <f>SUM(G44:I44)</f>
        <v/>
      </c>
      <c r="K44" s="49" t="n"/>
    </row>
    <row r="45" ht="19.9" customHeight="1" s="130">
      <c r="A45" s="3">
        <f>ROW()-2</f>
        <v/>
      </c>
      <c r="B45" s="4" t="inlineStr">
        <is>
          <t>공작/미화</t>
        </is>
      </c>
      <c r="C45" s="7" t="inlineStr">
        <is>
          <t>용접,배관</t>
        </is>
      </c>
      <c r="D45" s="6" t="inlineStr">
        <is>
          <t>여인혁</t>
        </is>
      </c>
      <c r="E45" s="22" t="n">
        <v>44522</v>
      </c>
      <c r="F45" s="21" t="n">
        <v>44621</v>
      </c>
      <c r="G45" s="170" t="n">
        <v>8</v>
      </c>
      <c r="H45" s="171" t="n">
        <v>0</v>
      </c>
      <c r="I45" s="172" t="n">
        <v>0</v>
      </c>
      <c r="J45" s="173">
        <f>SUM(G45:I45)</f>
        <v/>
      </c>
      <c r="K45" s="49" t="n"/>
    </row>
    <row r="46" ht="19.9" customHeight="1" s="130">
      <c r="A46" s="3" t="n"/>
      <c r="B46" s="4" t="n"/>
      <c r="C46" s="7" t="n"/>
      <c r="D46" s="6" t="inlineStr">
        <is>
          <t>오재현</t>
        </is>
      </c>
      <c r="E46" s="22" t="n">
        <v>46204</v>
      </c>
      <c r="F46" s="21" t="n">
        <v>46235</v>
      </c>
      <c r="G46" s="170" t="n">
        <v>0</v>
      </c>
      <c r="H46" s="171" t="n">
        <v>0</v>
      </c>
      <c r="I46" s="172" t="n">
        <v>3</v>
      </c>
      <c r="J46" s="173">
        <f>SUM(G46:I46)</f>
        <v/>
      </c>
      <c r="K46" s="49" t="n"/>
    </row>
    <row r="47" ht="19.9" customHeight="1" s="130">
      <c r="A47" s="3">
        <f>ROW()-2</f>
        <v/>
      </c>
      <c r="B47" s="4" t="inlineStr">
        <is>
          <t>포장재 창고</t>
        </is>
      </c>
      <c r="C47" s="7" t="inlineStr">
        <is>
          <t>H&amp;B사원</t>
        </is>
      </c>
      <c r="D47" s="6" t="inlineStr">
        <is>
          <t>유준혁</t>
        </is>
      </c>
      <c r="E47" s="22" t="n">
        <v>43503</v>
      </c>
      <c r="F47" s="21" t="n">
        <v>44348</v>
      </c>
      <c r="G47" s="170" t="n">
        <v>36</v>
      </c>
      <c r="H47" s="171" t="n">
        <v>39</v>
      </c>
      <c r="I47" s="172" t="n">
        <v>41</v>
      </c>
      <c r="J47" s="173">
        <f>SUM(G47:I47)</f>
        <v/>
      </c>
      <c r="K47" s="49" t="n"/>
    </row>
    <row r="48" ht="19.9" customHeight="1" s="130">
      <c r="A48" s="3">
        <f>ROW()-2</f>
        <v/>
      </c>
      <c r="B48" s="4" t="inlineStr">
        <is>
          <t>적재실</t>
        </is>
      </c>
      <c r="C48" s="7" t="inlineStr">
        <is>
          <t>H&amp;B사원(로봇)</t>
        </is>
      </c>
      <c r="D48" s="9" t="inlineStr">
        <is>
          <t>유지훈</t>
        </is>
      </c>
      <c r="E48" s="22" t="n">
        <v>42731</v>
      </c>
      <c r="F48" s="21" t="n">
        <v>44197</v>
      </c>
      <c r="G48" s="174" t="n">
        <v>16.5</v>
      </c>
      <c r="H48" s="175" t="n">
        <v>16</v>
      </c>
      <c r="I48" s="172" t="n">
        <v>24</v>
      </c>
      <c r="J48" s="173">
        <f>SUM(G48:I48)</f>
        <v/>
      </c>
      <c r="K48" s="49" t="n"/>
    </row>
    <row r="49" ht="19.9" customHeight="1" s="130">
      <c r="A49" s="3">
        <f>ROW()-2</f>
        <v/>
      </c>
      <c r="B49" s="4" t="inlineStr">
        <is>
          <t>포장재 창고</t>
        </is>
      </c>
      <c r="C49" s="5" t="inlineStr">
        <is>
          <t>사원</t>
        </is>
      </c>
      <c r="D49" s="6" t="inlineStr">
        <is>
          <t>유현우</t>
        </is>
      </c>
      <c r="E49" s="20" t="inlineStr">
        <is>
          <t>2022-02-17</t>
        </is>
      </c>
      <c r="F49" s="21" t="n">
        <v>44927</v>
      </c>
      <c r="G49" s="170" t="n">
        <v>20.5</v>
      </c>
      <c r="H49" s="171" t="n">
        <v>33</v>
      </c>
      <c r="I49" s="172" t="n">
        <v>20</v>
      </c>
      <c r="J49" s="173">
        <f>SUM(G49:I49)</f>
        <v/>
      </c>
      <c r="K49" s="49" t="n"/>
    </row>
    <row r="50" ht="19.9" customHeight="1" s="130">
      <c r="A50" s="3">
        <f>ROW()-2</f>
        <v/>
      </c>
      <c r="B50" s="4" t="inlineStr">
        <is>
          <t>적재실</t>
        </is>
      </c>
      <c r="C50" s="5" t="n"/>
      <c r="D50" s="6" t="inlineStr">
        <is>
          <t>이강산</t>
        </is>
      </c>
      <c r="E50" s="20" t="inlineStr">
        <is>
          <t>2024-12-09</t>
        </is>
      </c>
      <c r="F50" s="21" t="n">
        <v>45677</v>
      </c>
      <c r="G50" s="170" t="n">
        <v>36</v>
      </c>
      <c r="H50" s="171" t="n">
        <v>29</v>
      </c>
      <c r="I50" s="172" t="n">
        <v>40</v>
      </c>
      <c r="J50" s="173">
        <f>SUM(G50:I50)</f>
        <v/>
      </c>
      <c r="K50" s="49" t="n"/>
    </row>
    <row r="51" ht="19.9" customHeight="1" s="130">
      <c r="A51" s="3">
        <f>ROW()-2</f>
        <v/>
      </c>
      <c r="B51" s="4" t="inlineStr">
        <is>
          <t>공작/미화</t>
        </is>
      </c>
      <c r="C51" s="7" t="inlineStr">
        <is>
          <t>미화</t>
        </is>
      </c>
      <c r="D51" s="6" t="inlineStr">
        <is>
          <t>이금산</t>
        </is>
      </c>
      <c r="E51" s="27" t="n">
        <v>45964</v>
      </c>
      <c r="F51" s="21" t="n">
        <v>46214</v>
      </c>
      <c r="G51" s="170" t="n">
        <v>0</v>
      </c>
      <c r="H51" s="171" t="n">
        <v>0</v>
      </c>
      <c r="I51" s="172" t="n">
        <v>0</v>
      </c>
      <c r="J51" s="173">
        <f>SUM(G51:I51)</f>
        <v/>
      </c>
      <c r="K51" s="49" t="n"/>
    </row>
    <row r="52" ht="19.9" customHeight="1" s="130">
      <c r="A52" s="3">
        <f>ROW()-2</f>
        <v/>
      </c>
      <c r="B52" s="4" t="inlineStr">
        <is>
          <t>원료 창고</t>
        </is>
      </c>
      <c r="C52" s="7" t="inlineStr">
        <is>
          <t>현장관리</t>
        </is>
      </c>
      <c r="D52" s="9" t="inlineStr">
        <is>
          <t>이동기</t>
        </is>
      </c>
      <c r="E52" s="22" t="n">
        <v>42219</v>
      </c>
      <c r="F52" s="21" t="n">
        <v>44197</v>
      </c>
      <c r="G52" s="174" t="n">
        <v>61.5</v>
      </c>
      <c r="H52" s="175" t="n">
        <v>42</v>
      </c>
      <c r="I52" s="172" t="n">
        <v>53.5</v>
      </c>
      <c r="J52" s="173">
        <f>SUM(G52:I52)</f>
        <v/>
      </c>
      <c r="K52" s="178">
        <f>J52-$L$3</f>
        <v/>
      </c>
    </row>
    <row r="53" ht="19.9" customHeight="1" s="130">
      <c r="A53" s="3">
        <f>ROW()-2</f>
        <v/>
      </c>
      <c r="B53" s="4" t="inlineStr">
        <is>
          <t>적재실</t>
        </is>
      </c>
      <c r="C53" s="7" t="inlineStr">
        <is>
          <t>H&amp;B사원</t>
        </is>
      </c>
      <c r="D53" s="9" t="inlineStr">
        <is>
          <t>이성계</t>
        </is>
      </c>
      <c r="E53" s="22" t="n">
        <v>42804</v>
      </c>
      <c r="F53" s="21" t="n">
        <v>44197</v>
      </c>
      <c r="G53" s="174" t="n">
        <v>0</v>
      </c>
      <c r="H53" s="175" t="n">
        <v>0</v>
      </c>
      <c r="I53" s="172" t="n">
        <v>17</v>
      </c>
      <c r="J53" s="173">
        <f>SUM(G53:I53)</f>
        <v/>
      </c>
      <c r="K53" s="49" t="n"/>
    </row>
    <row r="54" ht="19.9" customHeight="1" s="130">
      <c r="A54" s="3">
        <f>ROW()-2</f>
        <v/>
      </c>
      <c r="B54" s="4" t="inlineStr">
        <is>
          <t>공작/미화</t>
        </is>
      </c>
      <c r="C54" s="7" t="n"/>
      <c r="D54" s="9" t="inlineStr">
        <is>
          <t>이성연</t>
        </is>
      </c>
      <c r="E54" s="22" t="n">
        <v>46062</v>
      </c>
      <c r="F54" s="21" t="n">
        <v>46062</v>
      </c>
      <c r="G54" s="174" t="n">
        <v>39.5</v>
      </c>
      <c r="H54" s="175" t="n">
        <v>32</v>
      </c>
      <c r="I54" s="172" t="n">
        <v>33</v>
      </c>
      <c r="J54" s="173">
        <f>SUM(G54:I54)</f>
        <v/>
      </c>
      <c r="K54" s="49" t="n"/>
    </row>
    <row r="55" ht="19.9" customHeight="1" s="130">
      <c r="A55" s="3">
        <f>ROW()-2</f>
        <v/>
      </c>
      <c r="B55" s="4" t="inlineStr">
        <is>
          <t>세척실</t>
        </is>
      </c>
      <c r="C55" s="7" t="inlineStr">
        <is>
          <t>2층설비세척(멀티)</t>
        </is>
      </c>
      <c r="D55" s="9" t="inlineStr">
        <is>
          <t>이세호</t>
        </is>
      </c>
      <c r="E55" s="20" t="inlineStr">
        <is>
          <t>2023-05-09</t>
        </is>
      </c>
      <c r="F55" s="24" t="n">
        <v>45139</v>
      </c>
      <c r="G55" s="174" t="n">
        <v>76</v>
      </c>
      <c r="H55" s="175" t="n">
        <v>81</v>
      </c>
      <c r="I55" s="172" t="n">
        <v>92</v>
      </c>
      <c r="J55" s="173">
        <f>SUM(G55:I55)</f>
        <v/>
      </c>
      <c r="K55" s="178">
        <f>J55-$L$3</f>
        <v/>
      </c>
    </row>
    <row r="56" ht="19.9" customFormat="1" customHeight="1" s="1">
      <c r="A56" s="3">
        <f>ROW()-2</f>
        <v/>
      </c>
      <c r="B56" s="4" t="inlineStr">
        <is>
          <t>공작/미화</t>
        </is>
      </c>
      <c r="C56" s="7" t="inlineStr">
        <is>
          <t>미화</t>
        </is>
      </c>
      <c r="D56" s="9" t="inlineStr">
        <is>
          <t>이순현</t>
        </is>
      </c>
      <c r="E56" s="22" t="n">
        <v>44018</v>
      </c>
      <c r="F56" s="24" t="n">
        <v>45817</v>
      </c>
      <c r="G56" s="174" t="n">
        <v>0</v>
      </c>
      <c r="H56" s="175" t="n">
        <v>8</v>
      </c>
      <c r="I56" s="172" t="n">
        <v>8</v>
      </c>
      <c r="J56" s="173">
        <f>SUM(G56:I56)</f>
        <v/>
      </c>
      <c r="K56" s="9" t="n"/>
    </row>
    <row r="57" ht="19.9" customFormat="1" customHeight="1" s="1">
      <c r="A57" s="3">
        <f>ROW()-2</f>
        <v/>
      </c>
      <c r="B57" s="4" t="inlineStr">
        <is>
          <t>포장재 창고</t>
        </is>
      </c>
      <c r="C57" s="7" t="inlineStr">
        <is>
          <t>H&amp;B사원</t>
        </is>
      </c>
      <c r="D57" s="9" t="inlineStr">
        <is>
          <t>이승룡</t>
        </is>
      </c>
      <c r="E57" s="22" t="n">
        <v>43083</v>
      </c>
      <c r="F57" s="23" t="n">
        <v>44197</v>
      </c>
      <c r="G57" s="174" t="n">
        <v>42</v>
      </c>
      <c r="H57" s="175" t="n">
        <v>47</v>
      </c>
      <c r="I57" s="172" t="n">
        <v>43</v>
      </c>
      <c r="J57" s="173">
        <f>SUM(G57:I57)</f>
        <v/>
      </c>
      <c r="K57" s="9" t="n"/>
    </row>
    <row r="58" ht="19.9" customFormat="1" customHeight="1" s="1">
      <c r="A58" s="3">
        <f>ROW()-2</f>
        <v/>
      </c>
      <c r="B58" s="4" t="inlineStr">
        <is>
          <t>포장재 창고</t>
        </is>
      </c>
      <c r="C58" s="7" t="inlineStr">
        <is>
          <t>염모제</t>
        </is>
      </c>
      <c r="D58" s="6" t="inlineStr">
        <is>
          <t>이재원</t>
        </is>
      </c>
      <c r="E58" s="20" t="inlineStr">
        <is>
          <t>2025-10-13</t>
        </is>
      </c>
      <c r="F58" s="24" t="n">
        <v>46023</v>
      </c>
      <c r="G58" s="170" t="n">
        <v>33</v>
      </c>
      <c r="H58" s="171" t="n">
        <v>37</v>
      </c>
      <c r="I58" s="172" t="n">
        <v>41</v>
      </c>
      <c r="J58" s="173">
        <f>SUM(G58:I58)</f>
        <v/>
      </c>
      <c r="K58" s="9" t="n"/>
    </row>
    <row r="59" ht="19.9" customFormat="1" customHeight="1" s="1">
      <c r="A59" s="3">
        <f>ROW()-2</f>
        <v/>
      </c>
      <c r="B59" s="4" t="inlineStr">
        <is>
          <t>포장재 창고</t>
        </is>
      </c>
      <c r="C59" s="5" t="inlineStr">
        <is>
          <t>사원</t>
        </is>
      </c>
      <c r="D59" s="6" t="inlineStr">
        <is>
          <t>이정근</t>
        </is>
      </c>
      <c r="E59" s="20" t="inlineStr">
        <is>
          <t>2021-11-29</t>
        </is>
      </c>
      <c r="F59" s="23" t="n">
        <v>44562</v>
      </c>
      <c r="G59" s="170" t="n">
        <v>19</v>
      </c>
      <c r="H59" s="171" t="n">
        <v>12</v>
      </c>
      <c r="I59" s="172" t="n">
        <v>11</v>
      </c>
      <c r="J59" s="173">
        <f>SUM(G59:I59)</f>
        <v/>
      </c>
      <c r="K59" s="9" t="n"/>
    </row>
    <row r="60" ht="19.9" customFormat="1" customHeight="1" s="1">
      <c r="A60" s="3">
        <f>ROW()-2</f>
        <v/>
      </c>
      <c r="B60" s="4" t="inlineStr">
        <is>
          <t>포장재 창고</t>
        </is>
      </c>
      <c r="C60" s="7" t="inlineStr">
        <is>
          <t>지방산</t>
        </is>
      </c>
      <c r="D60" s="9" t="inlineStr">
        <is>
          <t>이주현</t>
        </is>
      </c>
      <c r="E60" s="20" t="inlineStr">
        <is>
          <t>2023-09-18</t>
        </is>
      </c>
      <c r="F60" s="23" t="n">
        <v>45231</v>
      </c>
      <c r="G60" s="174" t="n">
        <v>57.5</v>
      </c>
      <c r="H60" s="175" t="n">
        <v>36</v>
      </c>
      <c r="I60" s="172" t="n">
        <v>44.5</v>
      </c>
      <c r="J60" s="173">
        <f>SUM(G60:I60)</f>
        <v/>
      </c>
      <c r="K60" s="9" t="n"/>
    </row>
    <row r="61" ht="19.9" customFormat="1" customHeight="1" s="1">
      <c r="A61" s="3">
        <f>ROW()-2</f>
        <v/>
      </c>
      <c r="B61" s="4" t="inlineStr">
        <is>
          <t>원료 창고</t>
        </is>
      </c>
      <c r="C61" s="7" t="inlineStr">
        <is>
          <t>지방산</t>
        </is>
      </c>
      <c r="D61" s="9" t="inlineStr">
        <is>
          <t>이준구</t>
        </is>
      </c>
      <c r="E61" s="22" t="n">
        <v>39539</v>
      </c>
      <c r="F61" s="23" t="n">
        <v>44197</v>
      </c>
      <c r="G61" s="174" t="n">
        <v>64.5</v>
      </c>
      <c r="H61" s="175" t="n">
        <v>55</v>
      </c>
      <c r="I61" s="172" t="n">
        <v>71</v>
      </c>
      <c r="J61" s="173">
        <f>SUM(G61:I61)</f>
        <v/>
      </c>
      <c r="K61" s="178">
        <f>J61-$L$3</f>
        <v/>
      </c>
    </row>
    <row r="62" ht="19.9" customFormat="1" customHeight="1" s="1">
      <c r="A62" s="3">
        <f>ROW()-2</f>
        <v/>
      </c>
      <c r="B62" s="4" t="inlineStr">
        <is>
          <t>포장재 창고</t>
        </is>
      </c>
      <c r="C62" s="7" t="inlineStr">
        <is>
          <t>1층</t>
        </is>
      </c>
      <c r="D62" s="9" t="inlineStr">
        <is>
          <t>이준엽</t>
        </is>
      </c>
      <c r="E62" s="20" t="inlineStr">
        <is>
          <t>2025-09-10</t>
        </is>
      </c>
      <c r="F62" s="23" t="n">
        <v>45992</v>
      </c>
      <c r="G62" s="174" t="n">
        <v>43</v>
      </c>
      <c r="H62" s="175" t="n">
        <v>58</v>
      </c>
      <c r="I62" s="172" t="n">
        <v>72</v>
      </c>
      <c r="J62" s="173">
        <f>SUM(G62:I62)</f>
        <v/>
      </c>
      <c r="K62" s="178">
        <f>J62-$L$3</f>
        <v/>
      </c>
    </row>
    <row r="63" ht="19.9" customFormat="1" customHeight="1" s="1">
      <c r="A63" s="3">
        <f>ROW()-2</f>
        <v/>
      </c>
      <c r="B63" s="4" t="inlineStr">
        <is>
          <t>적재실</t>
        </is>
      </c>
      <c r="C63" s="7" t="n"/>
      <c r="D63" s="9" t="inlineStr">
        <is>
          <t>이채영</t>
        </is>
      </c>
      <c r="E63" s="22" t="n">
        <v>41334</v>
      </c>
      <c r="F63" s="23" t="n">
        <v>44197</v>
      </c>
      <c r="G63" s="174" t="n">
        <v>0</v>
      </c>
      <c r="H63" s="175" t="n">
        <v>0</v>
      </c>
      <c r="I63" s="172" t="n">
        <v>0</v>
      </c>
      <c r="J63" s="173">
        <f>SUM(G63:I63)</f>
        <v/>
      </c>
      <c r="K63" s="9" t="n"/>
    </row>
    <row r="64" ht="19.9" customFormat="1" customHeight="1" s="1">
      <c r="A64" s="3">
        <f>ROW()-2</f>
        <v/>
      </c>
      <c r="B64" s="4" t="inlineStr">
        <is>
          <t>공작/미화</t>
        </is>
      </c>
      <c r="C64" s="7" t="inlineStr">
        <is>
          <t>미화</t>
        </is>
      </c>
      <c r="D64" s="9" t="inlineStr">
        <is>
          <t>임광수</t>
        </is>
      </c>
      <c r="E64" s="22" t="n">
        <v>44879</v>
      </c>
      <c r="F64" s="23" t="n">
        <v>44879</v>
      </c>
      <c r="G64" s="174" t="n">
        <v>0</v>
      </c>
      <c r="H64" s="175" t="n">
        <v>8</v>
      </c>
      <c r="I64" s="172" t="n">
        <v>8</v>
      </c>
      <c r="J64" s="173">
        <f>SUM(G64:I64)</f>
        <v/>
      </c>
      <c r="K64" s="9" t="n"/>
    </row>
    <row r="65" ht="19.9" customFormat="1" customHeight="1" s="1">
      <c r="A65" s="3">
        <f>ROW()-2</f>
        <v/>
      </c>
      <c r="B65" s="4" t="inlineStr">
        <is>
          <t>포장재 창고</t>
        </is>
      </c>
      <c r="C65" s="7" t="inlineStr">
        <is>
          <t>사원</t>
        </is>
      </c>
      <c r="D65" s="9" t="inlineStr">
        <is>
          <t>임동묵</t>
        </is>
      </c>
      <c r="E65" s="22" t="n">
        <v>43245</v>
      </c>
      <c r="F65" s="23" t="n">
        <v>44197</v>
      </c>
      <c r="G65" s="174" t="n">
        <v>18.5</v>
      </c>
      <c r="H65" s="175" t="n">
        <v>3</v>
      </c>
      <c r="I65" s="172" t="n">
        <v>0</v>
      </c>
      <c r="J65" s="173">
        <f>SUM(G65:I65)</f>
        <v/>
      </c>
      <c r="K65" s="9" t="n"/>
    </row>
    <row r="66" ht="19.9" customFormat="1" customHeight="1" s="1">
      <c r="A66" s="3">
        <f>ROW()-2</f>
        <v/>
      </c>
      <c r="B66" s="4" t="inlineStr">
        <is>
          <t>세척실</t>
        </is>
      </c>
      <c r="C66" s="7" t="inlineStr">
        <is>
          <t>OC세척</t>
        </is>
      </c>
      <c r="D66" s="9" t="inlineStr">
        <is>
          <t>임재광</t>
        </is>
      </c>
      <c r="E66" s="20" t="inlineStr">
        <is>
          <t>2021-05-20</t>
        </is>
      </c>
      <c r="F66" s="24" t="n">
        <v>44652</v>
      </c>
      <c r="G66" s="174" t="n">
        <v>3</v>
      </c>
      <c r="H66" s="175" t="n">
        <v>26</v>
      </c>
      <c r="I66" s="172" t="n">
        <v>14</v>
      </c>
      <c r="J66" s="173">
        <f>SUM(G66:I66)</f>
        <v/>
      </c>
      <c r="K66" s="9" t="n"/>
    </row>
    <row r="67" ht="19.9" customFormat="1" customHeight="1" s="1">
      <c r="A67" s="3">
        <f>ROW()-2</f>
        <v/>
      </c>
      <c r="B67" s="4" t="inlineStr">
        <is>
          <t>포장재 창고</t>
        </is>
      </c>
      <c r="C67" s="7" t="inlineStr">
        <is>
          <t>H&amp;B사원</t>
        </is>
      </c>
      <c r="D67" s="9" t="inlineStr">
        <is>
          <t>전경수</t>
        </is>
      </c>
      <c r="E67" s="22" t="n">
        <v>41424</v>
      </c>
      <c r="F67" s="23" t="n">
        <v>44197</v>
      </c>
      <c r="G67" s="174" t="n">
        <v>48</v>
      </c>
      <c r="H67" s="175" t="n">
        <v>54.5</v>
      </c>
      <c r="I67" s="172" t="n">
        <v>58</v>
      </c>
      <c r="J67" s="173">
        <f>SUM(G67:I67)</f>
        <v/>
      </c>
      <c r="K67" s="178">
        <f>J67-$L$3</f>
        <v/>
      </c>
    </row>
    <row r="68" ht="19.9" customFormat="1" customHeight="1" s="1">
      <c r="A68" s="3" t="n"/>
      <c r="B68" s="4" t="n"/>
      <c r="C68" s="7" t="n"/>
      <c r="D68" s="9" t="inlineStr">
        <is>
          <t>전병기</t>
        </is>
      </c>
      <c r="E68" s="22" t="n">
        <v>46206</v>
      </c>
      <c r="F68" s="23" t="inlineStr">
        <is>
          <t>2026-07-0</t>
        </is>
      </c>
      <c r="G68" s="170" t="n">
        <v>0</v>
      </c>
      <c r="H68" s="175" t="n">
        <v>11</v>
      </c>
      <c r="I68" s="172" t="n">
        <v>9</v>
      </c>
      <c r="J68" s="173">
        <f>SUM(G68:I68)</f>
        <v/>
      </c>
      <c r="K68" s="9" t="n"/>
    </row>
    <row r="69" ht="19.9" customFormat="1" customHeight="1" s="1">
      <c r="A69" s="3">
        <f>ROW()-2</f>
        <v/>
      </c>
      <c r="B69" s="4" t="inlineStr">
        <is>
          <t>적재실</t>
        </is>
      </c>
      <c r="C69" s="7" t="inlineStr">
        <is>
          <t>F&amp;C사원(로봇)</t>
        </is>
      </c>
      <c r="D69" s="9" t="inlineStr">
        <is>
          <t>전승희</t>
        </is>
      </c>
      <c r="E69" s="22" t="n">
        <v>41451</v>
      </c>
      <c r="F69" s="23" t="n">
        <v>44197</v>
      </c>
      <c r="G69" s="174" t="n">
        <v>44.5</v>
      </c>
      <c r="H69" s="175" t="n">
        <v>51</v>
      </c>
      <c r="I69" s="172" t="n">
        <v>59.5</v>
      </c>
      <c r="J69" s="173">
        <f>SUM(G69:I69)</f>
        <v/>
      </c>
      <c r="K69" s="9" t="n"/>
    </row>
    <row r="70" ht="19.9" customFormat="1" customHeight="1" s="1">
      <c r="A70" s="3">
        <f>ROW()-2</f>
        <v/>
      </c>
      <c r="B70" s="4" t="inlineStr">
        <is>
          <t>내용물 관리</t>
        </is>
      </c>
      <c r="C70" s="7" t="inlineStr">
        <is>
          <t>사원</t>
        </is>
      </c>
      <c r="D70" s="9" t="inlineStr">
        <is>
          <t>전완철</t>
        </is>
      </c>
      <c r="E70" s="20" t="inlineStr">
        <is>
          <t>2023-04-10</t>
        </is>
      </c>
      <c r="F70" s="24" t="n">
        <v>45047</v>
      </c>
      <c r="G70" s="174" t="n">
        <v>87</v>
      </c>
      <c r="H70" s="175" t="n">
        <v>69</v>
      </c>
      <c r="I70" s="172" t="n">
        <v>61</v>
      </c>
      <c r="J70" s="173">
        <f>SUM(G70:I70)</f>
        <v/>
      </c>
      <c r="K70" s="178">
        <f>J70-$L$3</f>
        <v/>
      </c>
    </row>
    <row r="71" ht="19.9" customFormat="1" customHeight="1" s="1">
      <c r="A71" s="3">
        <f>ROW()-2</f>
        <v/>
      </c>
      <c r="B71" s="4" t="inlineStr">
        <is>
          <t>내용물 관리</t>
        </is>
      </c>
      <c r="C71" s="7" t="inlineStr">
        <is>
          <t>사원</t>
        </is>
      </c>
      <c r="D71" s="9" t="inlineStr">
        <is>
          <t>정경호</t>
        </is>
      </c>
      <c r="E71" s="22" t="n">
        <v>43073</v>
      </c>
      <c r="F71" s="23" t="n">
        <v>44197</v>
      </c>
      <c r="G71" s="174" t="n">
        <v>10.5</v>
      </c>
      <c r="H71" s="175" t="n">
        <v>16.5</v>
      </c>
      <c r="I71" s="172" t="n">
        <v>15.5</v>
      </c>
      <c r="J71" s="173">
        <f>SUM(G71:I71)</f>
        <v/>
      </c>
      <c r="K71" s="9" t="n"/>
    </row>
    <row r="72" ht="19.9" customFormat="1" customHeight="1" s="1">
      <c r="A72" s="3">
        <f>ROW()-2</f>
        <v/>
      </c>
      <c r="B72" s="4" t="inlineStr">
        <is>
          <t>포장재 창고</t>
        </is>
      </c>
      <c r="C72" s="5" t="inlineStr">
        <is>
          <t>치약 포장재</t>
        </is>
      </c>
      <c r="D72" s="6" t="inlineStr">
        <is>
          <t>정대호</t>
        </is>
      </c>
      <c r="E72" s="27" t="n">
        <v>44200</v>
      </c>
      <c r="F72" s="21" t="n">
        <v>44200</v>
      </c>
      <c r="G72" s="170" t="n">
        <v>47</v>
      </c>
      <c r="H72" s="171" t="n">
        <v>37.5</v>
      </c>
      <c r="I72" s="172" t="n">
        <v>7</v>
      </c>
      <c r="J72" s="173">
        <f>SUM(G72:I72)</f>
        <v/>
      </c>
      <c r="K72" s="9" t="n"/>
    </row>
    <row r="73" ht="19.9" customHeight="1" s="130">
      <c r="A73" s="3">
        <f>ROW()-2</f>
        <v/>
      </c>
      <c r="B73" s="4" t="inlineStr">
        <is>
          <t>적재실</t>
        </is>
      </c>
      <c r="C73" s="11" t="inlineStr">
        <is>
          <t>H&amp;B사원(로봇)</t>
        </is>
      </c>
      <c r="D73" s="12" t="inlineStr">
        <is>
          <t>정진혁</t>
        </is>
      </c>
      <c r="E73" s="28" t="n">
        <v>43497</v>
      </c>
      <c r="F73" s="29" t="n">
        <v>44197</v>
      </c>
      <c r="G73" s="170" t="n">
        <v>18.5</v>
      </c>
      <c r="H73" s="171" t="n">
        <v>25</v>
      </c>
      <c r="I73" s="179" t="n">
        <v>25</v>
      </c>
      <c r="J73" s="173">
        <f>SUM(G73:I73)</f>
        <v/>
      </c>
      <c r="K73" s="49" t="n"/>
    </row>
    <row r="74" ht="19.9" customHeight="1" s="130">
      <c r="A74" s="3" t="n"/>
      <c r="B74" s="4" t="n"/>
      <c r="C74" s="11" t="n"/>
      <c r="D74" s="12" t="inlineStr">
        <is>
          <t>정철수</t>
        </is>
      </c>
      <c r="E74" s="28" t="n">
        <v>46133</v>
      </c>
      <c r="F74" s="29" t="n">
        <v>46204</v>
      </c>
      <c r="G74" s="170" t="n">
        <v>0</v>
      </c>
      <c r="H74" s="171" t="n">
        <v>8</v>
      </c>
      <c r="I74" s="172" t="n">
        <v>28</v>
      </c>
      <c r="J74" s="173">
        <f>SUM(G74:I74)</f>
        <v/>
      </c>
      <c r="K74" s="49" t="n"/>
    </row>
    <row r="75" ht="19.9" customHeight="1" s="130">
      <c r="A75" s="3" t="n"/>
      <c r="B75" s="4" t="n"/>
      <c r="C75" s="11" t="n"/>
      <c r="D75" s="12" t="inlineStr">
        <is>
          <t>정철훈</t>
        </is>
      </c>
      <c r="E75" s="28" t="n">
        <v>46133</v>
      </c>
      <c r="F75" s="29" t="n">
        <v>46204</v>
      </c>
      <c r="G75" s="170" t="n">
        <v>0</v>
      </c>
      <c r="H75" s="171" t="n">
        <v>47</v>
      </c>
      <c r="I75" s="172" t="n">
        <v>53</v>
      </c>
      <c r="J75" s="173">
        <f>SUM(G75:I75)</f>
        <v/>
      </c>
      <c r="K75" s="49" t="n"/>
    </row>
    <row r="76" ht="19.9" customHeight="1" s="130">
      <c r="A76" s="3">
        <f>ROW()-2</f>
        <v/>
      </c>
      <c r="B76" s="4" t="inlineStr">
        <is>
          <t>내용물 관리</t>
        </is>
      </c>
      <c r="C76" s="5" t="inlineStr">
        <is>
          <t>H&amp;B사원</t>
        </is>
      </c>
      <c r="D76" s="6" t="inlineStr">
        <is>
          <t>정환수</t>
        </is>
      </c>
      <c r="E76" s="22" t="n">
        <v>40817</v>
      </c>
      <c r="F76" s="23" t="n">
        <v>44197</v>
      </c>
      <c r="G76" s="170" t="n">
        <v>34.5</v>
      </c>
      <c r="H76" s="171" t="n">
        <v>41.5</v>
      </c>
      <c r="I76" s="172" t="n">
        <v>47.5</v>
      </c>
      <c r="J76" s="173">
        <f>SUM(G76:I76)</f>
        <v/>
      </c>
      <c r="K76" s="49" t="n"/>
    </row>
    <row r="77" ht="19.9" customHeight="1" s="130">
      <c r="A77" s="3">
        <f>ROW()-2</f>
        <v/>
      </c>
      <c r="B77" s="4" t="inlineStr">
        <is>
          <t>공작/미화</t>
        </is>
      </c>
      <c r="C77" s="13" t="inlineStr">
        <is>
          <t>미화</t>
        </is>
      </c>
      <c r="D77" s="14" t="inlineStr">
        <is>
          <t>정회순</t>
        </is>
      </c>
      <c r="E77" s="30" t="n">
        <v>42702</v>
      </c>
      <c r="F77" s="31" t="n">
        <v>44621</v>
      </c>
      <c r="G77" s="170" t="n">
        <v>0</v>
      </c>
      <c r="H77" s="171" t="n">
        <v>8</v>
      </c>
      <c r="I77" s="168" t="n">
        <v>0</v>
      </c>
      <c r="J77" s="173">
        <f>SUM(G77:I77)</f>
        <v/>
      </c>
      <c r="K77" s="49" t="n"/>
    </row>
    <row r="78" ht="19.9" customHeight="1" s="130">
      <c r="A78" s="3">
        <f>ROW()-2</f>
        <v/>
      </c>
      <c r="B78" s="4" t="inlineStr">
        <is>
          <t>공작/미화</t>
        </is>
      </c>
      <c r="C78" s="5" t="inlineStr">
        <is>
          <t>건축물시설유지보수</t>
        </is>
      </c>
      <c r="D78" s="6" t="inlineStr">
        <is>
          <t>조한삼</t>
        </is>
      </c>
      <c r="E78" s="22" t="n">
        <v>43815</v>
      </c>
      <c r="F78" s="23" t="n">
        <v>44621</v>
      </c>
      <c r="G78" s="170" t="n">
        <v>8.5</v>
      </c>
      <c r="H78" s="171" t="n">
        <v>8</v>
      </c>
      <c r="I78" s="172" t="n">
        <v>24</v>
      </c>
      <c r="J78" s="173">
        <f>SUM(G78:I78)</f>
        <v/>
      </c>
      <c r="K78" s="49" t="n"/>
    </row>
    <row r="79" ht="19.9" customHeight="1" s="130">
      <c r="A79" s="3">
        <f>ROW()-2</f>
        <v/>
      </c>
      <c r="B79" s="4" t="inlineStr">
        <is>
          <t>포장재 창고</t>
        </is>
      </c>
      <c r="C79" s="5" t="inlineStr">
        <is>
          <t>외주임가공</t>
        </is>
      </c>
      <c r="D79" s="6" t="inlineStr">
        <is>
          <t>지수경</t>
        </is>
      </c>
      <c r="E79" s="20" t="inlineStr">
        <is>
          <t>2023-12-14</t>
        </is>
      </c>
      <c r="F79" s="23" t="n">
        <v>45292</v>
      </c>
      <c r="G79" s="170" t="n">
        <v>0</v>
      </c>
      <c r="H79" s="171" t="n">
        <v>0</v>
      </c>
      <c r="I79" s="172" t="n">
        <v>0</v>
      </c>
      <c r="J79" s="173">
        <f>SUM(G79:I79)</f>
        <v/>
      </c>
      <c r="K79" s="49" t="n"/>
    </row>
    <row r="80" ht="19.9" customHeight="1" s="130">
      <c r="A80" s="3">
        <f>ROW()-2</f>
        <v/>
      </c>
      <c r="B80" s="4" t="inlineStr">
        <is>
          <t>세척실</t>
        </is>
      </c>
      <c r="C80" s="5" t="inlineStr">
        <is>
          <t>설비</t>
        </is>
      </c>
      <c r="D80" s="6" t="inlineStr">
        <is>
          <t>지정훈</t>
        </is>
      </c>
      <c r="E80" s="22" t="n">
        <v>41624</v>
      </c>
      <c r="F80" s="23" t="n">
        <v>44197</v>
      </c>
      <c r="G80" s="170" t="n">
        <v>9</v>
      </c>
      <c r="H80" s="171" t="n">
        <v>26</v>
      </c>
      <c r="I80" s="172" t="n">
        <v>39</v>
      </c>
      <c r="J80" s="173">
        <f>SUM(G80:I80)</f>
        <v/>
      </c>
      <c r="K80" s="49" t="n"/>
    </row>
    <row r="81" ht="19.9" customHeight="1" s="130">
      <c r="A81" s="3">
        <f>ROW()-2</f>
        <v/>
      </c>
      <c r="B81" s="4" t="inlineStr">
        <is>
          <t>공작/미화</t>
        </is>
      </c>
      <c r="C81" s="5" t="inlineStr">
        <is>
          <t>전기시설관리</t>
        </is>
      </c>
      <c r="D81" s="6" t="inlineStr">
        <is>
          <t>진형석</t>
        </is>
      </c>
      <c r="E81" s="22" t="n">
        <v>45450</v>
      </c>
      <c r="F81" s="23" t="n">
        <v>45450</v>
      </c>
      <c r="G81" s="170" t="n">
        <v>0</v>
      </c>
      <c r="H81" s="171" t="n">
        <v>0</v>
      </c>
      <c r="I81" s="172" t="n">
        <v>0</v>
      </c>
      <c r="J81" s="173">
        <f>SUM(G81:I81)</f>
        <v/>
      </c>
      <c r="K81" s="49" t="n"/>
    </row>
    <row r="82" ht="19.9" customHeight="1" s="130">
      <c r="A82" s="3">
        <f>ROW()-2</f>
        <v/>
      </c>
      <c r="B82" s="4" t="inlineStr">
        <is>
          <t>공작/미화</t>
        </is>
      </c>
      <c r="C82" s="5" t="inlineStr">
        <is>
          <t>공작미화 업무총괄</t>
        </is>
      </c>
      <c r="D82" s="6" t="inlineStr">
        <is>
          <t>최광용</t>
        </is>
      </c>
      <c r="E82" s="22" t="n">
        <v>41367</v>
      </c>
      <c r="F82" s="23" t="n">
        <v>45536</v>
      </c>
      <c r="G82" s="170" t="n">
        <v>0</v>
      </c>
      <c r="H82" s="171" t="n">
        <v>0</v>
      </c>
      <c r="I82" s="172" t="n">
        <v>0</v>
      </c>
      <c r="J82" s="173">
        <f>SUM(G82:I82)</f>
        <v/>
      </c>
      <c r="K82" s="49" t="n"/>
    </row>
    <row r="83" ht="19.9" customHeight="1" s="130">
      <c r="A83" s="3" t="n"/>
      <c r="B83" s="4" t="inlineStr">
        <is>
          <t>세척실</t>
        </is>
      </c>
      <c r="C83" s="7" t="inlineStr">
        <is>
          <t>p박스</t>
        </is>
      </c>
      <c r="D83" s="6" t="inlineStr">
        <is>
          <t>최규봉</t>
        </is>
      </c>
      <c r="E83" s="22" t="n">
        <v>46076</v>
      </c>
      <c r="F83" s="24" t="n">
        <v>46143</v>
      </c>
      <c r="G83" s="170" t="n">
        <v>42</v>
      </c>
      <c r="H83" s="171" t="n">
        <v>50</v>
      </c>
      <c r="I83" s="172" t="n">
        <v>45</v>
      </c>
      <c r="J83" s="173">
        <f>SUM(G83:I83)</f>
        <v/>
      </c>
      <c r="K83" s="49" t="n"/>
    </row>
    <row r="84" ht="19.9" customHeight="1" s="130">
      <c r="A84" s="3">
        <f>ROW()-2</f>
        <v/>
      </c>
      <c r="B84" s="4" t="inlineStr">
        <is>
          <t>포장재 창고</t>
        </is>
      </c>
      <c r="C84" s="5" t="inlineStr">
        <is>
          <t>H&amp;B사원</t>
        </is>
      </c>
      <c r="D84" s="6" t="inlineStr">
        <is>
          <t>최윤영</t>
        </is>
      </c>
      <c r="E84" s="22" t="n">
        <v>40452</v>
      </c>
      <c r="F84" s="23" t="n">
        <v>44197</v>
      </c>
      <c r="G84" s="170" t="n">
        <v>3</v>
      </c>
      <c r="H84" s="171" t="n">
        <v>3</v>
      </c>
      <c r="I84" s="172" t="n">
        <v>0</v>
      </c>
      <c r="J84" s="173">
        <f>SUM(G84:I84)</f>
        <v/>
      </c>
      <c r="K84" s="49" t="n"/>
    </row>
    <row r="85" ht="19.9" customHeight="1" s="130">
      <c r="A85" s="3">
        <f>ROW()-2</f>
        <v/>
      </c>
      <c r="B85" s="4" t="inlineStr">
        <is>
          <t>적재실</t>
        </is>
      </c>
      <c r="C85" s="7" t="inlineStr">
        <is>
          <t>F&amp;C사원(지게차)</t>
        </is>
      </c>
      <c r="D85" s="6" t="inlineStr">
        <is>
          <t>최호준</t>
        </is>
      </c>
      <c r="E85" s="20" t="inlineStr">
        <is>
          <t>2023-04-14</t>
        </is>
      </c>
      <c r="F85" s="24" t="n">
        <v>45108</v>
      </c>
      <c r="G85" s="170" t="n">
        <v>20</v>
      </c>
      <c r="H85" s="171" t="n">
        <v>16</v>
      </c>
      <c r="I85" s="172" t="n">
        <v>25.5</v>
      </c>
      <c r="J85" s="173">
        <f>SUM(G85:I85)</f>
        <v/>
      </c>
      <c r="K85" s="49" t="n"/>
    </row>
    <row r="86" ht="19.9" customHeight="1" s="130">
      <c r="A86" s="3">
        <f>ROW()-2</f>
        <v/>
      </c>
      <c r="B86" s="4" t="inlineStr">
        <is>
          <t>적재실</t>
        </is>
      </c>
      <c r="C86" s="5" t="inlineStr">
        <is>
          <t>H&amp;B사원(로봇)</t>
        </is>
      </c>
      <c r="D86" s="6" t="inlineStr">
        <is>
          <t>추성민</t>
        </is>
      </c>
      <c r="E86" s="22" t="n">
        <v>43383</v>
      </c>
      <c r="F86" s="23" t="n">
        <v>44197</v>
      </c>
      <c r="G86" s="170" t="n">
        <v>36</v>
      </c>
      <c r="H86" s="171" t="n">
        <v>39</v>
      </c>
      <c r="I86" s="172" t="n">
        <v>41</v>
      </c>
      <c r="J86" s="173">
        <f>SUM(G86:I86)</f>
        <v/>
      </c>
      <c r="K86" s="49" t="n"/>
    </row>
    <row r="87" ht="19.9" customHeight="1" s="130">
      <c r="A87" s="3">
        <f>ROW()-2</f>
        <v/>
      </c>
      <c r="B87" s="4" t="inlineStr">
        <is>
          <t>적재실</t>
        </is>
      </c>
      <c r="C87" s="5" t="inlineStr">
        <is>
          <t>H&amp;B사원(로봇)</t>
        </is>
      </c>
      <c r="D87" s="8" t="inlineStr">
        <is>
          <t>하태수</t>
        </is>
      </c>
      <c r="E87" s="22" t="n">
        <v>45793</v>
      </c>
      <c r="F87" s="23" t="n">
        <v>45793</v>
      </c>
      <c r="G87" s="170" t="n">
        <v>0</v>
      </c>
      <c r="H87" s="171" t="n">
        <v>0</v>
      </c>
      <c r="I87" s="172" t="n">
        <v>0</v>
      </c>
      <c r="J87" s="173">
        <f>SUM(G87:I87)</f>
        <v/>
      </c>
      <c r="K87" s="49" t="n"/>
    </row>
    <row r="88" ht="19.9" customHeight="1" s="130">
      <c r="A88" s="3">
        <f>ROW()-2</f>
        <v/>
      </c>
      <c r="B88" s="4" t="inlineStr">
        <is>
          <t>세척실</t>
        </is>
      </c>
      <c r="C88" s="5" t="inlineStr">
        <is>
          <t>폼가압통</t>
        </is>
      </c>
      <c r="D88" s="6" t="inlineStr">
        <is>
          <t>한인수</t>
        </is>
      </c>
      <c r="E88" s="22" t="n">
        <v>43529</v>
      </c>
      <c r="F88" s="23" t="n">
        <v>44197</v>
      </c>
      <c r="G88" s="170" t="n">
        <v>70</v>
      </c>
      <c r="H88" s="171" t="n">
        <v>75</v>
      </c>
      <c r="I88" s="172" t="n">
        <v>80</v>
      </c>
      <c r="J88" s="173">
        <f>SUM(G88:I88)</f>
        <v/>
      </c>
      <c r="K88" s="178">
        <f>J88-$L$3</f>
        <v/>
      </c>
    </row>
    <row r="89" ht="19.9" customHeight="1" s="130">
      <c r="A89" s="3">
        <f>ROW()-2</f>
        <v/>
      </c>
      <c r="B89" s="4" t="inlineStr">
        <is>
          <t>포장재 창고</t>
        </is>
      </c>
      <c r="C89" s="7" t="inlineStr">
        <is>
          <t>염모제</t>
        </is>
      </c>
      <c r="D89" s="6" t="inlineStr">
        <is>
          <t>한지훈</t>
        </is>
      </c>
      <c r="E89" s="22" t="n">
        <v>45182</v>
      </c>
      <c r="F89" s="23" t="n">
        <v>45261</v>
      </c>
      <c r="G89" s="170" t="n">
        <v>18</v>
      </c>
      <c r="H89" s="171" t="n">
        <v>14</v>
      </c>
      <c r="I89" s="172" t="n">
        <v>21.5</v>
      </c>
      <c r="J89" s="173">
        <f>SUM(G89:I89)</f>
        <v/>
      </c>
      <c r="K89" s="49" t="n"/>
    </row>
    <row r="90" ht="19.9" customHeight="1" s="130" thickBot="1">
      <c r="A90" s="15">
        <f>ROW()-2</f>
        <v/>
      </c>
      <c r="B90" s="4" t="inlineStr">
        <is>
          <t>포장재 창고</t>
        </is>
      </c>
      <c r="C90" s="16" t="inlineStr">
        <is>
          <t>염모제</t>
        </is>
      </c>
      <c r="D90" s="17" t="inlineStr">
        <is>
          <t>한태훈</t>
        </is>
      </c>
      <c r="E90" s="32" t="n">
        <v>45182</v>
      </c>
      <c r="F90" s="33" t="n">
        <v>45261</v>
      </c>
      <c r="G90" s="180" t="n">
        <v>21</v>
      </c>
      <c r="H90" s="181" t="n">
        <v>28</v>
      </c>
      <c r="I90" s="179" t="n">
        <v>29</v>
      </c>
      <c r="J90" s="182">
        <f>SUM(G90:I90)</f>
        <v/>
      </c>
      <c r="K90" s="52" t="n"/>
    </row>
    <row r="91" ht="16.15" customHeight="1" s="130" thickBot="1">
      <c r="A91" s="18" t="inlineStr">
        <is>
          <t>합계</t>
        </is>
      </c>
      <c r="B91" s="19" t="n"/>
      <c r="C91" s="19" t="n"/>
      <c r="D91" s="19" t="n"/>
      <c r="E91" s="19" t="n"/>
      <c r="F91" s="19" t="n"/>
      <c r="G91" s="19">
        <f>SUM(G3:G90)</f>
        <v/>
      </c>
      <c r="H91" s="34">
        <f>SUM(H3:H90)</f>
        <v/>
      </c>
      <c r="I91" s="183" t="n">
        <v>2578</v>
      </c>
      <c r="J91" s="184">
        <f>SUM(J3:J90)</f>
        <v/>
      </c>
      <c r="K91" s="54">
        <f>SUM(K3:K90)</f>
        <v/>
      </c>
    </row>
    <row r="93" customFormat="1" s="1"/>
  </sheetData>
  <autoFilter ref="A2:K2"/>
  <conditionalFormatting sqref="J3:J90">
    <cfRule type="cellIs" priority="1" operator="greaterThan" dxfId="0">
      <formula>156</formula>
    </cfRule>
  </conditionalFormatting>
  <pageMargins left="0.7" right="0.7" top="0.75" bottom="0.75" header="0.3" footer="0.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theme="8" tint="0.5999938962981048"/>
    <outlinePr summaryBelow="1" summaryRight="1"/>
    <pageSetUpPr/>
  </sheetPr>
  <dimension ref="A2:R154"/>
  <sheetViews>
    <sheetView zoomScale="85" zoomScaleNormal="85" workbookViewId="0">
      <pane xSplit="7" ySplit="2" topLeftCell="I3" activePane="bottomRight" state="frozen"/>
      <selection pane="bottomRight" activeCell="R3" sqref="R3"/>
      <selection pane="bottomLeft" activeCell="A3" sqref="A3"/>
      <selection pane="topRight" activeCell="G1" sqref="G1"/>
    </sheetView>
  </sheetViews>
  <sheetFormatPr baseColWidth="8" defaultColWidth="8.75" defaultRowHeight="17.45"/>
  <cols>
    <col width="6.125" customWidth="1" style="70" min="1" max="1"/>
    <col width="16.75" customWidth="1" style="70" min="2" max="2"/>
    <col hidden="1" width="23.875" customWidth="1" style="70" min="3" max="3"/>
    <col width="7.875" customWidth="1" style="70" min="4" max="4"/>
    <col hidden="1" width="7.375" customWidth="1" style="70" min="5" max="5"/>
    <col width="7" customWidth="1" style="70" min="6" max="6"/>
    <col width="8.75" customWidth="1" style="70" min="7" max="7"/>
    <col hidden="1" width="15.125" customWidth="1" style="70" min="8" max="8"/>
    <col width="12.625" customWidth="1" style="71" min="9" max="9"/>
    <col width="11.375" customWidth="1" style="71" min="10" max="10"/>
    <col width="11.125" customWidth="1" style="70" min="11" max="14"/>
    <col width="9.25" customWidth="1" style="185" min="15" max="16"/>
    <col width="8.75" customWidth="1" style="70" min="17" max="16384"/>
  </cols>
  <sheetData>
    <row r="1" ht="18" customHeight="1" s="130" thickBot="1"/>
    <row r="2" ht="18" customHeight="1" s="130" thickBot="1">
      <c r="A2" s="112" t="inlineStr">
        <is>
          <t>연번</t>
        </is>
      </c>
      <c r="B2" s="113" t="inlineStr">
        <is>
          <t>공정명</t>
        </is>
      </c>
      <c r="C2" s="114" t="inlineStr">
        <is>
          <t>세부공정</t>
        </is>
      </c>
      <c r="D2" s="115" t="inlineStr">
        <is>
          <t>직/간접</t>
        </is>
      </c>
      <c r="E2" s="115" t="inlineStr">
        <is>
          <t>교대근무</t>
        </is>
      </c>
      <c r="F2" s="116" t="inlineStr">
        <is>
          <t>직책</t>
        </is>
      </c>
      <c r="G2" s="113" t="inlineStr">
        <is>
          <t>성명</t>
        </is>
      </c>
      <c r="H2" s="117" t="inlineStr">
        <is>
          <t>연락처</t>
        </is>
      </c>
      <c r="I2" s="118" t="inlineStr">
        <is>
          <t>최초입사일</t>
        </is>
      </c>
      <c r="J2" s="120" t="inlineStr">
        <is>
          <t>그룹입사일</t>
        </is>
      </c>
      <c r="K2" s="121" t="inlineStr">
        <is>
          <t>퇴사일</t>
        </is>
      </c>
      <c r="L2" s="67" t="inlineStr">
        <is>
          <t>6월 시간외근무</t>
        </is>
      </c>
      <c r="M2" s="67" t="inlineStr">
        <is>
          <t>7월 시간외근무</t>
        </is>
      </c>
      <c r="N2" s="68" t="inlineStr">
        <is>
          <t>8월 시간외근무</t>
        </is>
      </c>
      <c r="O2" s="66" t="inlineStr">
        <is>
          <t>합계</t>
        </is>
      </c>
      <c r="P2" s="69" t="inlineStr">
        <is>
          <t>초과시간</t>
        </is>
      </c>
    </row>
    <row r="3">
      <c r="A3" s="106">
        <f>ROW()-2</f>
        <v/>
      </c>
      <c r="B3" s="107" t="inlineStr">
        <is>
          <t>초격차</t>
        </is>
      </c>
      <c r="C3" s="89" t="n"/>
      <c r="D3" s="122" t="inlineStr">
        <is>
          <t>직접</t>
        </is>
      </c>
      <c r="E3" s="122" t="inlineStr">
        <is>
          <t>교대</t>
        </is>
      </c>
      <c r="F3" s="91" t="inlineStr">
        <is>
          <t>작업자</t>
        </is>
      </c>
      <c r="G3" s="107" t="inlineStr">
        <is>
          <t>강명숙</t>
        </is>
      </c>
      <c r="H3" s="123" t="inlineStr">
        <is>
          <t>010-2038-0081</t>
        </is>
      </c>
      <c r="I3" s="109" t="n">
        <v>41064</v>
      </c>
      <c r="J3" s="110" t="n">
        <v>45536</v>
      </c>
      <c r="K3" s="111" t="n"/>
      <c r="L3" s="123" t="n">
        <v>27</v>
      </c>
      <c r="M3" s="122" t="n">
        <v>22</v>
      </c>
      <c r="N3" s="123" t="n">
        <v>40</v>
      </c>
      <c r="O3" s="107">
        <f>SUM(L3:N3)</f>
        <v/>
      </c>
      <c r="P3" s="107" t="n"/>
      <c r="Q3" s="47">
        <f>52*3</f>
        <v/>
      </c>
      <c r="R3" s="70">
        <f>COUNTIF(O3:O153,"&gt;156")</f>
        <v/>
      </c>
    </row>
    <row r="4">
      <c r="A4" s="73">
        <f>ROW()-2</f>
        <v/>
      </c>
      <c r="B4" s="74" t="inlineStr">
        <is>
          <t>직선</t>
        </is>
      </c>
      <c r="C4" s="75" t="n"/>
      <c r="D4" s="125" t="inlineStr">
        <is>
          <t>직접</t>
        </is>
      </c>
      <c r="E4" s="125" t="inlineStr">
        <is>
          <t>교대</t>
        </is>
      </c>
      <c r="F4" s="77" t="inlineStr">
        <is>
          <t>작업자</t>
        </is>
      </c>
      <c r="G4" s="74" t="inlineStr">
        <is>
          <t>강성민</t>
        </is>
      </c>
      <c r="H4" s="124" t="inlineStr">
        <is>
          <t>010-4528-3717</t>
        </is>
      </c>
      <c r="I4" s="79" t="n">
        <v>40045</v>
      </c>
      <c r="J4" s="80" t="n">
        <v>45536</v>
      </c>
      <c r="K4" s="81" t="n"/>
      <c r="L4" s="124" t="n">
        <v>45</v>
      </c>
      <c r="M4" s="125" t="n">
        <v>44</v>
      </c>
      <c r="N4" s="124" t="n">
        <v>60</v>
      </c>
      <c r="O4" s="107">
        <f>SUM(L4:N4)</f>
        <v/>
      </c>
      <c r="P4" s="74" t="n"/>
    </row>
    <row r="5">
      <c r="A5" s="73" t="n"/>
      <c r="B5" s="74" t="n"/>
      <c r="C5" s="75" t="n"/>
      <c r="D5" s="125" t="n"/>
      <c r="E5" s="125" t="n"/>
      <c r="F5" s="77" t="n"/>
      <c r="G5" s="74" t="inlineStr">
        <is>
          <t>고기동</t>
        </is>
      </c>
      <c r="H5" s="124" t="n"/>
      <c r="I5" s="79" t="n">
        <v>46149</v>
      </c>
      <c r="J5" s="80" t="n">
        <v>46235</v>
      </c>
      <c r="K5" s="81" t="n"/>
      <c r="L5" s="124" t="n">
        <v>0</v>
      </c>
      <c r="M5" s="125" t="n">
        <v>0</v>
      </c>
      <c r="N5" s="124" t="n">
        <v>0</v>
      </c>
      <c r="O5" s="107">
        <f>SUM(L5:N5)</f>
        <v/>
      </c>
      <c r="P5" s="74" t="n"/>
    </row>
    <row r="6">
      <c r="A6" s="73">
        <f>ROW()-2</f>
        <v/>
      </c>
      <c r="B6" s="74" t="inlineStr">
        <is>
          <t>초격차</t>
        </is>
      </c>
      <c r="C6" s="75" t="n"/>
      <c r="D6" s="125" t="inlineStr">
        <is>
          <t>직접</t>
        </is>
      </c>
      <c r="E6" s="125" t="inlineStr">
        <is>
          <t>교대</t>
        </is>
      </c>
      <c r="F6" s="77" t="inlineStr">
        <is>
          <t>작업자</t>
        </is>
      </c>
      <c r="G6" s="74" t="inlineStr">
        <is>
          <t>곽경자</t>
        </is>
      </c>
      <c r="H6" s="124" t="inlineStr">
        <is>
          <t>010-4927-7248</t>
        </is>
      </c>
      <c r="I6" s="79" t="n">
        <v>39875</v>
      </c>
      <c r="J6" s="80" t="n">
        <v>45536</v>
      </c>
      <c r="K6" s="81" t="n"/>
      <c r="L6" s="124" t="n">
        <v>18</v>
      </c>
      <c r="M6" s="125" t="n">
        <v>16</v>
      </c>
      <c r="N6" s="124" t="n">
        <v>16</v>
      </c>
      <c r="O6" s="107">
        <f>SUM(L6:N6)</f>
        <v/>
      </c>
      <c r="P6" s="74" t="n"/>
    </row>
    <row r="7">
      <c r="A7" s="73">
        <f>ROW()-2</f>
        <v/>
      </c>
      <c r="B7" s="74" t="inlineStr">
        <is>
          <t>O/C</t>
        </is>
      </c>
      <c r="C7" s="75" t="n"/>
      <c r="D7" s="125" t="inlineStr">
        <is>
          <t>직접</t>
        </is>
      </c>
      <c r="E7" s="125" t="inlineStr">
        <is>
          <t>교대</t>
        </is>
      </c>
      <c r="F7" s="77" t="inlineStr">
        <is>
          <t>OP</t>
        </is>
      </c>
      <c r="G7" s="74" t="inlineStr">
        <is>
          <t>곽노경</t>
        </is>
      </c>
      <c r="H7" s="124" t="inlineStr">
        <is>
          <t>010-3640-9827</t>
        </is>
      </c>
      <c r="I7" s="79" t="n">
        <v>39083</v>
      </c>
      <c r="J7" s="80" t="n">
        <v>45536</v>
      </c>
      <c r="K7" s="81" t="n"/>
      <c r="L7" s="124" t="n">
        <v>39</v>
      </c>
      <c r="M7" s="125" t="n">
        <v>35</v>
      </c>
      <c r="N7" s="124" t="n">
        <v>21</v>
      </c>
      <c r="O7" s="107">
        <f>SUM(L7:N7)</f>
        <v/>
      </c>
      <c r="P7" s="74" t="n"/>
    </row>
    <row r="8">
      <c r="A8" s="73">
        <f>ROW()-2</f>
        <v/>
      </c>
      <c r="B8" s="74" t="inlineStr">
        <is>
          <t>염모</t>
        </is>
      </c>
      <c r="C8" s="75" t="n"/>
      <c r="D8" s="125" t="inlineStr">
        <is>
          <t>직접</t>
        </is>
      </c>
      <c r="E8" s="125" t="inlineStr">
        <is>
          <t>교대</t>
        </is>
      </c>
      <c r="F8" s="77" t="inlineStr">
        <is>
          <t>OP</t>
        </is>
      </c>
      <c r="G8" s="74" t="inlineStr">
        <is>
          <t>곽분숙</t>
        </is>
      </c>
      <c r="H8" s="124" t="inlineStr">
        <is>
          <t>010-7678-0086</t>
        </is>
      </c>
      <c r="I8" s="79" t="n">
        <v>39083</v>
      </c>
      <c r="J8" s="80" t="n">
        <v>45536</v>
      </c>
      <c r="K8" s="81" t="n"/>
      <c r="L8" s="124" t="n">
        <v>15</v>
      </c>
      <c r="M8" s="125" t="n">
        <v>15</v>
      </c>
      <c r="N8" s="124" t="n">
        <v>3</v>
      </c>
      <c r="O8" s="107">
        <f>SUM(L8:N8)</f>
        <v/>
      </c>
      <c r="P8" s="74" t="n"/>
    </row>
    <row r="9">
      <c r="A9" s="73">
        <f>ROW()-2</f>
        <v/>
      </c>
      <c r="B9" s="74" t="inlineStr">
        <is>
          <t>멀티</t>
        </is>
      </c>
      <c r="C9" s="75" t="n"/>
      <c r="D9" s="125" t="inlineStr">
        <is>
          <t>직접</t>
        </is>
      </c>
      <c r="E9" s="125" t="inlineStr">
        <is>
          <t>교대</t>
        </is>
      </c>
      <c r="F9" s="77" t="inlineStr">
        <is>
          <t>OP</t>
        </is>
      </c>
      <c r="G9" s="74" t="inlineStr">
        <is>
          <t>곽옥연</t>
        </is>
      </c>
      <c r="H9" s="124" t="inlineStr">
        <is>
          <t>010-9637-0429</t>
        </is>
      </c>
      <c r="I9" s="79" t="n">
        <v>39753</v>
      </c>
      <c r="J9" s="80" t="n">
        <v>45536</v>
      </c>
      <c r="K9" s="81" t="n"/>
      <c r="L9" s="124" t="n">
        <v>47</v>
      </c>
      <c r="M9" s="125" t="n">
        <v>63</v>
      </c>
      <c r="N9" s="124" t="n">
        <v>49</v>
      </c>
      <c r="O9" s="107">
        <f>SUM(L9:N9)</f>
        <v/>
      </c>
      <c r="P9" s="74">
        <f>O9-$Q$3</f>
        <v/>
      </c>
    </row>
    <row r="10">
      <c r="A10" s="73">
        <f>ROW()-2</f>
        <v/>
      </c>
      <c r="B10" s="74" t="inlineStr">
        <is>
          <t>튜브</t>
        </is>
      </c>
      <c r="C10" s="75" t="n"/>
      <c r="D10" s="125" t="inlineStr">
        <is>
          <t>직접</t>
        </is>
      </c>
      <c r="E10" s="125" t="inlineStr">
        <is>
          <t>교대</t>
        </is>
      </c>
      <c r="F10" s="77" t="inlineStr">
        <is>
          <t>OP</t>
        </is>
      </c>
      <c r="G10" s="74" t="inlineStr">
        <is>
          <t>곽정분</t>
        </is>
      </c>
      <c r="H10" s="124" t="inlineStr">
        <is>
          <t>010-2253-6327</t>
        </is>
      </c>
      <c r="I10" s="79" t="n">
        <v>40646</v>
      </c>
      <c r="J10" s="80" t="n">
        <v>45536</v>
      </c>
      <c r="K10" s="81" t="n"/>
      <c r="L10" s="124" t="n">
        <v>18</v>
      </c>
      <c r="M10" s="125" t="n">
        <v>37</v>
      </c>
      <c r="N10" s="124" t="n">
        <v>26</v>
      </c>
      <c r="O10" s="107">
        <f>SUM(L10:N10)</f>
        <v/>
      </c>
      <c r="P10" s="74" t="n"/>
    </row>
    <row r="11">
      <c r="A11" s="73">
        <f>ROW()-2</f>
        <v/>
      </c>
      <c r="B11" s="74" t="inlineStr">
        <is>
          <t>염모</t>
        </is>
      </c>
      <c r="C11" s="75" t="n"/>
      <c r="D11" s="125" t="inlineStr">
        <is>
          <t>직접</t>
        </is>
      </c>
      <c r="E11" s="125" t="inlineStr">
        <is>
          <t>교대</t>
        </is>
      </c>
      <c r="F11" s="77" t="inlineStr">
        <is>
          <t>OP</t>
        </is>
      </c>
      <c r="G11" s="74" t="inlineStr">
        <is>
          <t>구홍자</t>
        </is>
      </c>
      <c r="H11" s="124" t="inlineStr">
        <is>
          <t>010-7624-1109</t>
        </is>
      </c>
      <c r="I11" s="79" t="n">
        <v>43018</v>
      </c>
      <c r="J11" s="80" t="n">
        <v>45536</v>
      </c>
      <c r="K11" s="81" t="n"/>
      <c r="L11" s="124" t="n">
        <v>35</v>
      </c>
      <c r="M11" s="125" t="n">
        <v>11</v>
      </c>
      <c r="N11" s="124" t="n">
        <v>0</v>
      </c>
      <c r="O11" s="107">
        <f>SUM(L11:N11)</f>
        <v/>
      </c>
      <c r="P11" s="74" t="n"/>
    </row>
    <row r="12">
      <c r="A12" s="73">
        <f>ROW()-2</f>
        <v/>
      </c>
      <c r="B12" s="74" t="inlineStr">
        <is>
          <t>튜브</t>
        </is>
      </c>
      <c r="C12" s="75" t="n"/>
      <c r="D12" s="125" t="inlineStr">
        <is>
          <t>직접</t>
        </is>
      </c>
      <c r="E12" s="125" t="inlineStr">
        <is>
          <t>교대</t>
        </is>
      </c>
      <c r="F12" s="77" t="inlineStr">
        <is>
          <t>OP</t>
        </is>
      </c>
      <c r="G12" s="74" t="inlineStr">
        <is>
          <t>권순화</t>
        </is>
      </c>
      <c r="H12" s="124" t="inlineStr">
        <is>
          <t>010-9731-2999</t>
        </is>
      </c>
      <c r="I12" s="79" t="n">
        <v>40422</v>
      </c>
      <c r="J12" s="80" t="n">
        <v>45536</v>
      </c>
      <c r="K12" s="81" t="n"/>
      <c r="L12" s="124" t="n">
        <v>21</v>
      </c>
      <c r="M12" s="125" t="n">
        <v>34</v>
      </c>
      <c r="N12" s="124" t="n">
        <v>39</v>
      </c>
      <c r="O12" s="107">
        <f>SUM(L12:N12)</f>
        <v/>
      </c>
      <c r="P12" s="74" t="n"/>
    </row>
    <row r="13">
      <c r="A13" s="73">
        <f>ROW()-2</f>
        <v/>
      </c>
      <c r="B13" s="74" t="inlineStr">
        <is>
          <t>직선</t>
        </is>
      </c>
      <c r="C13" s="75" t="n"/>
      <c r="D13" s="125" t="inlineStr">
        <is>
          <t>직접</t>
        </is>
      </c>
      <c r="E13" s="125" t="inlineStr">
        <is>
          <t>교대</t>
        </is>
      </c>
      <c r="F13" s="77" t="inlineStr">
        <is>
          <t>OP</t>
        </is>
      </c>
      <c r="G13" s="74" t="inlineStr">
        <is>
          <t>권오승</t>
        </is>
      </c>
      <c r="H13" s="124" t="inlineStr">
        <is>
          <t>010-5423-1151</t>
        </is>
      </c>
      <c r="I13" s="79" t="n">
        <v>40658</v>
      </c>
      <c r="J13" s="80" t="n">
        <v>45536</v>
      </c>
      <c r="K13" s="81" t="n"/>
      <c r="L13" s="124" t="n">
        <v>48</v>
      </c>
      <c r="M13" s="125" t="n">
        <v>46</v>
      </c>
      <c r="N13" s="124" t="n">
        <v>47</v>
      </c>
      <c r="O13" s="107">
        <f>SUM(L13:N13)</f>
        <v/>
      </c>
      <c r="P13" s="74" t="n"/>
    </row>
    <row r="14">
      <c r="A14" s="73">
        <f>ROW()-2</f>
        <v/>
      </c>
      <c r="B14" s="74" t="inlineStr">
        <is>
          <t>염모</t>
        </is>
      </c>
      <c r="C14" s="75" t="n"/>
      <c r="D14" s="125" t="inlineStr">
        <is>
          <t>직접</t>
        </is>
      </c>
      <c r="E14" s="125" t="inlineStr">
        <is>
          <t>교대</t>
        </is>
      </c>
      <c r="F14" s="77" t="inlineStr">
        <is>
          <t>OP</t>
        </is>
      </c>
      <c r="G14" s="74" t="inlineStr">
        <is>
          <t>권춘희</t>
        </is>
      </c>
      <c r="H14" s="124" t="inlineStr">
        <is>
          <t>010-4164-4423</t>
        </is>
      </c>
      <c r="I14" s="79" t="n">
        <v>42317</v>
      </c>
      <c r="J14" s="80" t="n">
        <v>45536</v>
      </c>
      <c r="K14" s="81" t="n"/>
      <c r="L14" s="124" t="n">
        <v>12</v>
      </c>
      <c r="M14" s="125" t="n">
        <v>9</v>
      </c>
      <c r="N14" s="124" t="n">
        <v>6</v>
      </c>
      <c r="O14" s="107">
        <f>SUM(L14:N14)</f>
        <v/>
      </c>
      <c r="P14" s="74" t="n"/>
    </row>
    <row r="15">
      <c r="A15" s="73">
        <f>ROW()-2</f>
        <v/>
      </c>
      <c r="B15" s="74" t="inlineStr">
        <is>
          <t>초격차</t>
        </is>
      </c>
      <c r="C15" s="75" t="n"/>
      <c r="D15" s="125" t="inlineStr">
        <is>
          <t>직접</t>
        </is>
      </c>
      <c r="E15" s="125" t="inlineStr">
        <is>
          <t>교대</t>
        </is>
      </c>
      <c r="F15" s="77" t="inlineStr">
        <is>
          <t>작업자</t>
        </is>
      </c>
      <c r="G15" s="74" t="inlineStr">
        <is>
          <t>길은서</t>
        </is>
      </c>
      <c r="H15" s="124" t="inlineStr">
        <is>
          <t>010-2374-6872</t>
        </is>
      </c>
      <c r="I15" s="79" t="n">
        <v>40792</v>
      </c>
      <c r="J15" s="80" t="n">
        <v>45536</v>
      </c>
      <c r="K15" s="81" t="n"/>
      <c r="L15" s="124" t="n">
        <v>2</v>
      </c>
      <c r="M15" s="125" t="n">
        <v>16</v>
      </c>
      <c r="N15" s="124" t="n">
        <v>16</v>
      </c>
      <c r="O15" s="107">
        <f>SUM(L15:N15)</f>
        <v/>
      </c>
      <c r="P15" s="74" t="n"/>
    </row>
    <row r="16">
      <c r="A16" s="73">
        <f>ROW()-2</f>
        <v/>
      </c>
      <c r="B16" s="74" t="inlineStr">
        <is>
          <t>O/C</t>
        </is>
      </c>
      <c r="C16" s="75" t="n"/>
      <c r="D16" s="125" t="inlineStr">
        <is>
          <t>간접</t>
        </is>
      </c>
      <c r="E16" s="125" t="inlineStr">
        <is>
          <t>교대</t>
        </is>
      </c>
      <c r="F16" s="77" t="inlineStr">
        <is>
          <t>PM</t>
        </is>
      </c>
      <c r="G16" s="74" t="inlineStr">
        <is>
          <t>김건주</t>
        </is>
      </c>
      <c r="H16" s="124" t="inlineStr">
        <is>
          <t>010-3048-4683</t>
        </is>
      </c>
      <c r="I16" s="79" t="n">
        <v>43789</v>
      </c>
      <c r="J16" s="80" t="n">
        <v>45536</v>
      </c>
      <c r="K16" s="81" t="n"/>
      <c r="L16" s="124" t="n">
        <v>27</v>
      </c>
      <c r="M16" s="125" t="n">
        <v>20</v>
      </c>
      <c r="N16" s="124" t="n">
        <v>3</v>
      </c>
      <c r="O16" s="107">
        <f>SUM(L16:N16)</f>
        <v/>
      </c>
      <c r="P16" s="74" t="n"/>
    </row>
    <row r="17">
      <c r="A17" s="73">
        <f>ROW()-2</f>
        <v/>
      </c>
      <c r="B17" s="74" t="inlineStr">
        <is>
          <t>멀티</t>
        </is>
      </c>
      <c r="C17" s="75" t="n"/>
      <c r="D17" s="125" t="inlineStr">
        <is>
          <t>직접</t>
        </is>
      </c>
      <c r="E17" s="125" t="inlineStr">
        <is>
          <t>교대</t>
        </is>
      </c>
      <c r="F17" s="77" t="inlineStr">
        <is>
          <t>OP</t>
        </is>
      </c>
      <c r="G17" s="74" t="inlineStr">
        <is>
          <t>김경선</t>
        </is>
      </c>
      <c r="H17" s="124" t="inlineStr">
        <is>
          <t>010-6473-8518</t>
        </is>
      </c>
      <c r="I17" s="79" t="n">
        <v>42606</v>
      </c>
      <c r="J17" s="80" t="n">
        <v>45536</v>
      </c>
      <c r="K17" s="81" t="n"/>
      <c r="L17" s="124" t="n">
        <v>44</v>
      </c>
      <c r="M17" s="125" t="n">
        <v>44</v>
      </c>
      <c r="N17" s="124" t="n">
        <v>38</v>
      </c>
      <c r="O17" s="107">
        <f>SUM(L17:N17)</f>
        <v/>
      </c>
      <c r="P17" s="74" t="n"/>
    </row>
    <row r="18">
      <c r="A18" s="73">
        <f>ROW()-2</f>
        <v/>
      </c>
      <c r="B18" s="74" t="inlineStr">
        <is>
          <t>실적/순회</t>
        </is>
      </c>
      <c r="C18" s="82" t="n"/>
      <c r="D18" s="125" t="inlineStr">
        <is>
          <t>간접</t>
        </is>
      </c>
      <c r="E18" s="125" t="inlineStr">
        <is>
          <t>교대</t>
        </is>
      </c>
      <c r="F18" s="77" t="inlineStr">
        <is>
          <t>실직/순회</t>
        </is>
      </c>
      <c r="G18" s="74" t="inlineStr">
        <is>
          <t>김경춘</t>
        </is>
      </c>
      <c r="H18" s="124" t="inlineStr">
        <is>
          <t>010-7132-7651</t>
        </is>
      </c>
      <c r="I18" s="79" t="n">
        <v>42249</v>
      </c>
      <c r="J18" s="80" t="n">
        <v>45536</v>
      </c>
      <c r="K18" s="81" t="n"/>
      <c r="L18" s="124" t="n">
        <v>50</v>
      </c>
      <c r="M18" s="125" t="n">
        <v>32</v>
      </c>
      <c r="N18" s="124" t="n">
        <v>3</v>
      </c>
      <c r="O18" s="107">
        <f>SUM(L18:N18)</f>
        <v/>
      </c>
      <c r="P18" s="74" t="n"/>
    </row>
    <row r="19">
      <c r="A19" s="73">
        <f>ROW()-2</f>
        <v/>
      </c>
      <c r="B19" s="74" t="inlineStr">
        <is>
          <t>PM</t>
        </is>
      </c>
      <c r="C19" s="75" t="n"/>
      <c r="D19" s="125" t="inlineStr">
        <is>
          <t>간접</t>
        </is>
      </c>
      <c r="E19" s="125" t="inlineStr">
        <is>
          <t>교대</t>
        </is>
      </c>
      <c r="F19" s="77" t="inlineStr">
        <is>
          <t>PM</t>
        </is>
      </c>
      <c r="G19" s="74" t="inlineStr">
        <is>
          <t>김대중</t>
        </is>
      </c>
      <c r="H19" s="124" t="inlineStr">
        <is>
          <t>010-4722-1827</t>
        </is>
      </c>
      <c r="I19" s="79" t="n">
        <v>45887</v>
      </c>
      <c r="J19" s="80" t="n">
        <v>45887</v>
      </c>
      <c r="K19" s="81" t="n"/>
      <c r="L19" s="186" t="n">
        <v>44</v>
      </c>
      <c r="M19" s="187" t="n">
        <v>42</v>
      </c>
      <c r="N19" s="186" t="n">
        <v>51</v>
      </c>
      <c r="O19" s="107">
        <f>SUM(L19:N19)</f>
        <v/>
      </c>
      <c r="P19" s="74" t="n"/>
    </row>
    <row r="20">
      <c r="A20" s="73">
        <f>ROW()-2</f>
        <v/>
      </c>
      <c r="B20" s="74" t="inlineStr">
        <is>
          <t>염모</t>
        </is>
      </c>
      <c r="C20" s="75" t="n"/>
      <c r="D20" s="125" t="inlineStr">
        <is>
          <t>간접</t>
        </is>
      </c>
      <c r="E20" s="125" t="inlineStr">
        <is>
          <t>교대</t>
        </is>
      </c>
      <c r="F20" s="77" t="inlineStr">
        <is>
          <t>PM</t>
        </is>
      </c>
      <c r="G20" s="74" t="inlineStr">
        <is>
          <t>김대현</t>
        </is>
      </c>
      <c r="H20" s="124" t="inlineStr">
        <is>
          <t>010-2255-9520</t>
        </is>
      </c>
      <c r="I20" s="79" t="n">
        <v>44053</v>
      </c>
      <c r="J20" s="80" t="n">
        <v>45536</v>
      </c>
      <c r="K20" s="81" t="n"/>
      <c r="L20" s="186" t="n">
        <v>28.5</v>
      </c>
      <c r="M20" s="187" t="n">
        <v>20.5</v>
      </c>
      <c r="N20" s="186" t="n">
        <v>41</v>
      </c>
      <c r="O20" s="107">
        <f>SUM(L20:N20)</f>
        <v/>
      </c>
      <c r="P20" s="74" t="n"/>
    </row>
    <row r="21">
      <c r="A21" s="73">
        <f>ROW()-2</f>
        <v/>
      </c>
      <c r="B21" s="74" t="inlineStr">
        <is>
          <t>직선</t>
        </is>
      </c>
      <c r="C21" s="75" t="n"/>
      <c r="D21" s="125" t="inlineStr">
        <is>
          <t>직접</t>
        </is>
      </c>
      <c r="E21" s="125" t="inlineStr">
        <is>
          <t>교대</t>
        </is>
      </c>
      <c r="F21" s="77" t="inlineStr">
        <is>
          <t>작업자</t>
        </is>
      </c>
      <c r="G21" s="74" t="inlineStr">
        <is>
          <t>김명희</t>
        </is>
      </c>
      <c r="H21" s="124" t="inlineStr">
        <is>
          <t>010-3997-0213</t>
        </is>
      </c>
      <c r="I21" s="79" t="n">
        <v>42982</v>
      </c>
      <c r="J21" s="80" t="n">
        <v>45536</v>
      </c>
      <c r="K21" s="81" t="n"/>
      <c r="L21" s="186" t="n">
        <v>45</v>
      </c>
      <c r="M21" s="187" t="n">
        <v>63</v>
      </c>
      <c r="N21" s="186" t="n">
        <v>63</v>
      </c>
      <c r="O21" s="107">
        <f>SUM(L21:N21)</f>
        <v/>
      </c>
      <c r="P21" s="74">
        <f>O21-$Q$3</f>
        <v/>
      </c>
    </row>
    <row r="22">
      <c r="A22" s="73">
        <f>ROW()-2</f>
        <v/>
      </c>
      <c r="B22" s="74" t="inlineStr">
        <is>
          <t>멀티</t>
        </is>
      </c>
      <c r="C22" s="75" t="n"/>
      <c r="D22" s="125" t="inlineStr">
        <is>
          <t>직접</t>
        </is>
      </c>
      <c r="E22" s="125" t="inlineStr">
        <is>
          <t>교대</t>
        </is>
      </c>
      <c r="F22" s="77" t="inlineStr">
        <is>
          <t>OP</t>
        </is>
      </c>
      <c r="G22" s="74" t="inlineStr">
        <is>
          <t>김선희</t>
        </is>
      </c>
      <c r="H22" s="124" t="inlineStr">
        <is>
          <t>010-3454-0301</t>
        </is>
      </c>
      <c r="I22" s="79" t="n">
        <v>41001</v>
      </c>
      <c r="J22" s="80" t="n">
        <v>45536</v>
      </c>
      <c r="K22" s="81" t="n"/>
      <c r="L22" s="186" t="n">
        <v>53</v>
      </c>
      <c r="M22" s="187" t="n">
        <v>47</v>
      </c>
      <c r="N22" s="186" t="n">
        <v>63</v>
      </c>
      <c r="O22" s="107">
        <f>SUM(L22:N22)</f>
        <v/>
      </c>
      <c r="P22" s="74">
        <f>O22-$Q$3</f>
        <v/>
      </c>
    </row>
    <row r="23">
      <c r="A23" s="73">
        <f>ROW()-2</f>
        <v/>
      </c>
      <c r="B23" s="74" t="inlineStr">
        <is>
          <t>직선</t>
        </is>
      </c>
      <c r="C23" s="75" t="n"/>
      <c r="D23" s="125" t="inlineStr">
        <is>
          <t>직접</t>
        </is>
      </c>
      <c r="E23" s="125" t="inlineStr">
        <is>
          <t>교대</t>
        </is>
      </c>
      <c r="F23" s="77" t="inlineStr">
        <is>
          <t>작업자</t>
        </is>
      </c>
      <c r="G23" s="74" t="inlineStr">
        <is>
          <t>김성권</t>
        </is>
      </c>
      <c r="H23" s="124" t="inlineStr">
        <is>
          <t>010-6314-3036</t>
        </is>
      </c>
      <c r="I23" s="79" t="n">
        <v>39083</v>
      </c>
      <c r="J23" s="80" t="n">
        <v>45536</v>
      </c>
      <c r="K23" s="81" t="n"/>
      <c r="L23" s="186" t="n">
        <v>43</v>
      </c>
      <c r="M23" s="187" t="n">
        <v>58</v>
      </c>
      <c r="N23" s="186" t="n">
        <v>44</v>
      </c>
      <c r="O23" s="107">
        <f>SUM(L23:N23)</f>
        <v/>
      </c>
      <c r="P23" s="74" t="n"/>
    </row>
    <row r="24">
      <c r="A24" s="73" t="n"/>
      <c r="B24" s="74" t="inlineStr">
        <is>
          <t>PM</t>
        </is>
      </c>
      <c r="C24" s="75" t="n"/>
      <c r="D24" s="125" t="inlineStr">
        <is>
          <t>간접</t>
        </is>
      </c>
      <c r="E24" s="125" t="inlineStr">
        <is>
          <t>교대</t>
        </is>
      </c>
      <c r="F24" s="77" t="inlineStr">
        <is>
          <t>PM</t>
        </is>
      </c>
      <c r="G24" s="74" t="inlineStr">
        <is>
          <t>김세환</t>
        </is>
      </c>
      <c r="H24" s="124" t="n"/>
      <c r="I24" s="83" t="n">
        <v>44571</v>
      </c>
      <c r="J24" s="84" t="n">
        <v>44571</v>
      </c>
      <c r="K24" s="81" t="n"/>
      <c r="L24" s="186" t="n">
        <v>0</v>
      </c>
      <c r="M24" s="187" t="n">
        <v>0</v>
      </c>
      <c r="N24" s="186" t="n">
        <v>0</v>
      </c>
      <c r="O24" s="107">
        <f>SUM(L24:N24)</f>
        <v/>
      </c>
      <c r="P24" s="74" t="n"/>
    </row>
    <row r="25">
      <c r="A25" s="73">
        <f>ROW()-2</f>
        <v/>
      </c>
      <c r="B25" s="74" t="inlineStr">
        <is>
          <t>염모</t>
        </is>
      </c>
      <c r="C25" s="75" t="n"/>
      <c r="D25" s="125" t="inlineStr">
        <is>
          <t>직접</t>
        </is>
      </c>
      <c r="E25" s="125" t="inlineStr">
        <is>
          <t>교대</t>
        </is>
      </c>
      <c r="F25" s="77" t="inlineStr">
        <is>
          <t>OP</t>
        </is>
      </c>
      <c r="G25" s="74" t="inlineStr">
        <is>
          <t>김순남</t>
        </is>
      </c>
      <c r="H25" s="124" t="inlineStr">
        <is>
          <t>010-3336-1527</t>
        </is>
      </c>
      <c r="I25" s="79" t="n">
        <v>41134</v>
      </c>
      <c r="J25" s="80" t="n">
        <v>45536</v>
      </c>
      <c r="K25" s="81" t="n"/>
      <c r="L25" s="186" t="n">
        <v>32</v>
      </c>
      <c r="M25" s="187" t="n">
        <v>10.5</v>
      </c>
      <c r="N25" s="186" t="n">
        <v>0</v>
      </c>
      <c r="O25" s="107">
        <f>SUM(L25:N25)</f>
        <v/>
      </c>
      <c r="P25" s="74" t="n"/>
    </row>
    <row r="26">
      <c r="A26" s="73">
        <f>ROW()-2</f>
        <v/>
      </c>
      <c r="B26" s="74" t="inlineStr">
        <is>
          <t>계획자</t>
        </is>
      </c>
      <c r="C26" s="75" t="n"/>
      <c r="D26" s="125" t="inlineStr">
        <is>
          <t>간접</t>
        </is>
      </c>
      <c r="E26" s="125" t="inlineStr">
        <is>
          <t>교대</t>
        </is>
      </c>
      <c r="F26" s="77" t="inlineStr">
        <is>
          <t>계획자</t>
        </is>
      </c>
      <c r="G26" s="74" t="inlineStr">
        <is>
          <t>김순리</t>
        </is>
      </c>
      <c r="H26" s="124" t="inlineStr">
        <is>
          <t>010-8822-4933</t>
        </is>
      </c>
      <c r="I26" s="79" t="n">
        <v>39083</v>
      </c>
      <c r="J26" s="80" t="n">
        <v>45536</v>
      </c>
      <c r="K26" s="81" t="n"/>
      <c r="L26" s="186" t="n">
        <v>65</v>
      </c>
      <c r="M26" s="187" t="n">
        <v>71.5</v>
      </c>
      <c r="N26" s="186" t="n">
        <v>54</v>
      </c>
      <c r="O26" s="107">
        <f>SUM(L26:N26)</f>
        <v/>
      </c>
      <c r="P26" s="74">
        <f>O26-$Q$3</f>
        <v/>
      </c>
    </row>
    <row r="27">
      <c r="A27" s="73">
        <f>ROW()-2</f>
        <v/>
      </c>
      <c r="B27" s="74" t="inlineStr">
        <is>
          <t>튜브</t>
        </is>
      </c>
      <c r="C27" s="75" t="n"/>
      <c r="D27" s="125" t="inlineStr">
        <is>
          <t>직접</t>
        </is>
      </c>
      <c r="E27" s="125" t="inlineStr">
        <is>
          <t>교대</t>
        </is>
      </c>
      <c r="F27" s="77" t="inlineStr">
        <is>
          <t>OP</t>
        </is>
      </c>
      <c r="G27" s="74" t="inlineStr">
        <is>
          <t>김순옥</t>
        </is>
      </c>
      <c r="H27" s="124" t="inlineStr">
        <is>
          <t>010-4576-9349</t>
        </is>
      </c>
      <c r="I27" s="79" t="n">
        <v>39083</v>
      </c>
      <c r="J27" s="80" t="n">
        <v>45536</v>
      </c>
      <c r="K27" s="81" t="n"/>
      <c r="L27" s="186" t="n">
        <v>33</v>
      </c>
      <c r="M27" s="187" t="n">
        <v>53</v>
      </c>
      <c r="N27" s="186" t="n">
        <v>54</v>
      </c>
      <c r="O27" s="107">
        <f>SUM(L27:N27)</f>
        <v/>
      </c>
      <c r="P27" s="74" t="n"/>
    </row>
    <row r="28">
      <c r="A28" s="73">
        <f>ROW()-2</f>
        <v/>
      </c>
      <c r="B28" s="74" t="inlineStr">
        <is>
          <t>튜브</t>
        </is>
      </c>
      <c r="C28" s="75" t="n"/>
      <c r="D28" s="125" t="inlineStr">
        <is>
          <t>간접</t>
        </is>
      </c>
      <c r="E28" s="125" t="inlineStr">
        <is>
          <t>교대</t>
        </is>
      </c>
      <c r="F28" s="77" t="inlineStr">
        <is>
          <t>PM</t>
        </is>
      </c>
      <c r="G28" s="74" t="inlineStr">
        <is>
          <t>김시정</t>
        </is>
      </c>
      <c r="H28" s="124" t="inlineStr">
        <is>
          <t>010-4413-7988</t>
        </is>
      </c>
      <c r="I28" s="79" t="n">
        <v>42485</v>
      </c>
      <c r="J28" s="80" t="n">
        <v>45536</v>
      </c>
      <c r="K28" s="81" t="n"/>
      <c r="L28" s="186" t="n">
        <v>44</v>
      </c>
      <c r="M28" s="187" t="n">
        <v>52</v>
      </c>
      <c r="N28" s="186" t="n">
        <v>41</v>
      </c>
      <c r="O28" s="107">
        <f>SUM(L28:N28)</f>
        <v/>
      </c>
      <c r="P28" s="74" t="n"/>
    </row>
    <row r="29">
      <c r="A29" s="73">
        <f>ROW()-2</f>
        <v/>
      </c>
      <c r="B29" s="74" t="inlineStr">
        <is>
          <t>초격차</t>
        </is>
      </c>
      <c r="C29" s="75" t="n"/>
      <c r="D29" s="125" t="inlineStr">
        <is>
          <t>직접</t>
        </is>
      </c>
      <c r="E29" s="125" t="inlineStr">
        <is>
          <t>교대</t>
        </is>
      </c>
      <c r="F29" s="77" t="inlineStr">
        <is>
          <t>작업자</t>
        </is>
      </c>
      <c r="G29" s="74" t="inlineStr">
        <is>
          <t>김연남</t>
        </is>
      </c>
      <c r="H29" s="124" t="inlineStr">
        <is>
          <t>010-4417-6961</t>
        </is>
      </c>
      <c r="I29" s="79" t="n">
        <v>39083</v>
      </c>
      <c r="J29" s="80" t="n">
        <v>45536</v>
      </c>
      <c r="K29" s="81" t="n"/>
      <c r="L29" s="186" t="n">
        <v>36</v>
      </c>
      <c r="M29" s="187" t="n">
        <v>39</v>
      </c>
      <c r="N29" s="186" t="n">
        <v>38</v>
      </c>
      <c r="O29" s="107">
        <f>SUM(L29:N29)</f>
        <v/>
      </c>
      <c r="P29" s="74" t="n"/>
    </row>
    <row r="30">
      <c r="A30" s="73">
        <f>ROW()-2</f>
        <v/>
      </c>
      <c r="B30" s="74" t="inlineStr">
        <is>
          <t>멀티</t>
        </is>
      </c>
      <c r="C30" s="75" t="n"/>
      <c r="D30" s="125" t="inlineStr">
        <is>
          <t>직접</t>
        </is>
      </c>
      <c r="E30" s="125" t="inlineStr">
        <is>
          <t>교대</t>
        </is>
      </c>
      <c r="F30" s="77" t="inlineStr">
        <is>
          <t>OP</t>
        </is>
      </c>
      <c r="G30" s="74" t="inlineStr">
        <is>
          <t>김영숙</t>
        </is>
      </c>
      <c r="H30" s="124" t="inlineStr">
        <is>
          <t>010-6472-7575</t>
        </is>
      </c>
      <c r="I30" s="79" t="n">
        <v>43770</v>
      </c>
      <c r="J30" s="80" t="n">
        <v>45536</v>
      </c>
      <c r="K30" s="81" t="n"/>
      <c r="L30" s="186" t="n">
        <v>44</v>
      </c>
      <c r="M30" s="187" t="n">
        <v>44</v>
      </c>
      <c r="N30" s="186" t="n">
        <v>40</v>
      </c>
      <c r="O30" s="107">
        <f>SUM(L30:N30)</f>
        <v/>
      </c>
      <c r="P30" s="74" t="n"/>
    </row>
    <row r="31">
      <c r="A31" s="73">
        <f>ROW()-2</f>
        <v/>
      </c>
      <c r="B31" s="74" t="inlineStr">
        <is>
          <t>O/C</t>
        </is>
      </c>
      <c r="C31" s="75" t="n"/>
      <c r="D31" s="125" t="inlineStr">
        <is>
          <t>직접</t>
        </is>
      </c>
      <c r="E31" s="125" t="inlineStr">
        <is>
          <t>교대</t>
        </is>
      </c>
      <c r="F31" s="77" t="inlineStr">
        <is>
          <t>OP</t>
        </is>
      </c>
      <c r="G31" s="74" t="inlineStr">
        <is>
          <t>김영인</t>
        </is>
      </c>
      <c r="H31" s="124" t="inlineStr">
        <is>
          <t>010-5633-9051</t>
        </is>
      </c>
      <c r="I31" s="79" t="n">
        <v>41151</v>
      </c>
      <c r="J31" s="80" t="n">
        <v>45536</v>
      </c>
      <c r="K31" s="81" t="n"/>
      <c r="L31" s="186" t="n">
        <v>53</v>
      </c>
      <c r="M31" s="187" t="n">
        <v>38</v>
      </c>
      <c r="N31" s="186" t="n">
        <v>15</v>
      </c>
      <c r="O31" s="107">
        <f>SUM(L31:N31)</f>
        <v/>
      </c>
      <c r="P31" s="74" t="n"/>
    </row>
    <row r="32">
      <c r="A32" s="73">
        <f>ROW()-2</f>
        <v/>
      </c>
      <c r="B32" s="74" t="inlineStr">
        <is>
          <t>멀티</t>
        </is>
      </c>
      <c r="C32" s="75" t="n"/>
      <c r="D32" s="125" t="inlineStr">
        <is>
          <t>직접</t>
        </is>
      </c>
      <c r="E32" s="125" t="inlineStr">
        <is>
          <t>교대</t>
        </is>
      </c>
      <c r="F32" s="77" t="inlineStr">
        <is>
          <t>작업자</t>
        </is>
      </c>
      <c r="G32" s="74" t="inlineStr">
        <is>
          <t>김영자</t>
        </is>
      </c>
      <c r="H32" s="124" t="inlineStr">
        <is>
          <t>010-6416-9006</t>
        </is>
      </c>
      <c r="I32" s="79" t="n">
        <v>41767</v>
      </c>
      <c r="J32" s="80" t="n">
        <v>45900</v>
      </c>
      <c r="K32" s="81" t="n"/>
      <c r="L32" s="186" t="n">
        <v>36</v>
      </c>
      <c r="M32" s="187" t="n">
        <v>35</v>
      </c>
      <c r="N32" s="186" t="n">
        <v>36</v>
      </c>
      <c r="O32" s="107">
        <f>SUM(L32:N32)</f>
        <v/>
      </c>
      <c r="P32" s="74" t="n"/>
    </row>
    <row r="33">
      <c r="A33" s="73">
        <f>ROW()-2</f>
        <v/>
      </c>
      <c r="B33" s="74" t="inlineStr">
        <is>
          <t>HnB</t>
        </is>
      </c>
      <c r="C33" s="75" t="n"/>
      <c r="D33" s="125" t="inlineStr">
        <is>
          <t>간접</t>
        </is>
      </c>
      <c r="E33" s="125" t="inlineStr">
        <is>
          <t>교대</t>
        </is>
      </c>
      <c r="F33" s="77" t="inlineStr">
        <is>
          <t>도우미</t>
        </is>
      </c>
      <c r="G33" s="74" t="inlineStr">
        <is>
          <t>김예순</t>
        </is>
      </c>
      <c r="H33" s="124" t="inlineStr">
        <is>
          <t>010-5424-1177</t>
        </is>
      </c>
      <c r="I33" s="79" t="n">
        <v>39083</v>
      </c>
      <c r="J33" s="80" t="n">
        <v>46030</v>
      </c>
      <c r="K33" s="81" t="n"/>
      <c r="L33" s="186" t="n">
        <v>70</v>
      </c>
      <c r="M33" s="187" t="n">
        <v>72</v>
      </c>
      <c r="N33" s="186" t="n">
        <v>58</v>
      </c>
      <c r="O33" s="107">
        <f>SUM(L33:N33)</f>
        <v/>
      </c>
      <c r="P33" s="74">
        <f>O33-$Q$3</f>
        <v/>
      </c>
    </row>
    <row r="34">
      <c r="A34" s="73">
        <f>ROW()-2</f>
        <v/>
      </c>
      <c r="B34" s="74" t="inlineStr">
        <is>
          <t>튜브</t>
        </is>
      </c>
      <c r="C34" s="75" t="n"/>
      <c r="D34" s="125" t="inlineStr">
        <is>
          <t>직접</t>
        </is>
      </c>
      <c r="E34" s="125" t="inlineStr">
        <is>
          <t>교대</t>
        </is>
      </c>
      <c r="F34" s="77" t="inlineStr">
        <is>
          <t>작업자</t>
        </is>
      </c>
      <c r="G34" s="74" t="inlineStr">
        <is>
          <t>김원자</t>
        </is>
      </c>
      <c r="H34" s="124" t="inlineStr">
        <is>
          <t>010-9611-3690</t>
        </is>
      </c>
      <c r="I34" s="79" t="n">
        <v>45306</v>
      </c>
      <c r="J34" s="80" t="n">
        <v>46032</v>
      </c>
      <c r="K34" s="81" t="n"/>
      <c r="L34" s="186" t="n">
        <v>0</v>
      </c>
      <c r="M34" s="187" t="n">
        <v>25</v>
      </c>
      <c r="N34" s="186" t="n">
        <v>28</v>
      </c>
      <c r="O34" s="107">
        <f>SUM(L34:N34)</f>
        <v/>
      </c>
      <c r="P34" s="74" t="n"/>
    </row>
    <row r="35">
      <c r="A35" s="73">
        <f>ROW()-2</f>
        <v/>
      </c>
      <c r="B35" s="74" t="inlineStr">
        <is>
          <t>초격차</t>
        </is>
      </c>
      <c r="C35" s="75" t="n"/>
      <c r="D35" s="125" t="inlineStr">
        <is>
          <t>직접</t>
        </is>
      </c>
      <c r="E35" s="125" t="inlineStr">
        <is>
          <t>교대</t>
        </is>
      </c>
      <c r="F35" s="77" t="inlineStr">
        <is>
          <t>작업자</t>
        </is>
      </c>
      <c r="G35" s="74" t="inlineStr">
        <is>
          <t>김은선</t>
        </is>
      </c>
      <c r="H35" s="124" t="inlineStr">
        <is>
          <t>010-4153-3857</t>
        </is>
      </c>
      <c r="I35" s="79" t="n">
        <v>41603</v>
      </c>
      <c r="J35" s="80" t="n">
        <v>45536</v>
      </c>
      <c r="K35" s="81" t="n"/>
      <c r="L35" s="186" t="n">
        <v>35</v>
      </c>
      <c r="M35" s="187" t="n">
        <v>31</v>
      </c>
      <c r="N35" s="186" t="n">
        <v>40</v>
      </c>
      <c r="O35" s="107">
        <f>SUM(L35:N35)</f>
        <v/>
      </c>
      <c r="P35" s="74" t="n"/>
    </row>
    <row r="36">
      <c r="A36" s="73">
        <f>ROW()-2</f>
        <v/>
      </c>
      <c r="B36" s="74" t="inlineStr">
        <is>
          <t>HnB</t>
        </is>
      </c>
      <c r="C36" s="75" t="n"/>
      <c r="D36" s="125" t="inlineStr">
        <is>
          <t>간접</t>
        </is>
      </c>
      <c r="E36" s="125" t="inlineStr">
        <is>
          <t>교대</t>
        </is>
      </c>
      <c r="F36" s="77" t="inlineStr">
        <is>
          <t>도우미</t>
        </is>
      </c>
      <c r="G36" s="74" t="inlineStr">
        <is>
          <t>김인규</t>
        </is>
      </c>
      <c r="H36" s="124" t="inlineStr">
        <is>
          <t>010-2261-1753</t>
        </is>
      </c>
      <c r="I36" s="79" t="n">
        <v>39870</v>
      </c>
      <c r="J36" s="80" t="n">
        <v>45536</v>
      </c>
      <c r="K36" s="81" t="n"/>
      <c r="L36" s="186" t="n">
        <v>36</v>
      </c>
      <c r="M36" s="187" t="n">
        <v>63</v>
      </c>
      <c r="N36" s="186" t="n">
        <v>57</v>
      </c>
      <c r="O36" s="107">
        <f>SUM(L36:N36)</f>
        <v/>
      </c>
      <c r="P36" s="74" t="n"/>
    </row>
    <row r="37">
      <c r="A37" s="73">
        <f>ROW()-2</f>
        <v/>
      </c>
      <c r="B37" s="74" t="inlineStr">
        <is>
          <t>멀티</t>
        </is>
      </c>
      <c r="C37" s="75" t="n"/>
      <c r="D37" s="125" t="inlineStr">
        <is>
          <t>직접</t>
        </is>
      </c>
      <c r="E37" s="125" t="inlineStr">
        <is>
          <t>교대</t>
        </is>
      </c>
      <c r="F37" s="77" t="inlineStr">
        <is>
          <t>OP</t>
        </is>
      </c>
      <c r="G37" s="74" t="inlineStr">
        <is>
          <t>김인형</t>
        </is>
      </c>
      <c r="H37" s="124" t="inlineStr">
        <is>
          <t>010-3390-5787</t>
        </is>
      </c>
      <c r="I37" s="79" t="n">
        <v>43444</v>
      </c>
      <c r="J37" s="80" t="n">
        <v>45536</v>
      </c>
      <c r="K37" s="81" t="n"/>
      <c r="L37" s="186" t="n">
        <v>55</v>
      </c>
      <c r="M37" s="187" t="n">
        <v>33</v>
      </c>
      <c r="N37" s="186" t="n">
        <v>36</v>
      </c>
      <c r="O37" s="107">
        <f>SUM(L37:N37)</f>
        <v/>
      </c>
      <c r="P37" s="74" t="n"/>
    </row>
    <row r="38">
      <c r="A38" s="73">
        <f>ROW()-2</f>
        <v/>
      </c>
      <c r="B38" s="74" t="inlineStr">
        <is>
          <t>염모</t>
        </is>
      </c>
      <c r="C38" s="75" t="n"/>
      <c r="D38" s="125" t="inlineStr">
        <is>
          <t>직접</t>
        </is>
      </c>
      <c r="E38" s="125" t="inlineStr">
        <is>
          <t>교대</t>
        </is>
      </c>
      <c r="F38" s="77" t="inlineStr">
        <is>
          <t>OP</t>
        </is>
      </c>
      <c r="G38" s="74" t="inlineStr">
        <is>
          <t>김자영</t>
        </is>
      </c>
      <c r="H38" s="124" t="inlineStr">
        <is>
          <t>010-2908-6875</t>
        </is>
      </c>
      <c r="I38" s="79" t="n">
        <v>40401</v>
      </c>
      <c r="J38" s="80" t="n">
        <v>45536</v>
      </c>
      <c r="K38" s="81" t="n"/>
      <c r="L38" s="186" t="n">
        <v>30</v>
      </c>
      <c r="M38" s="187" t="n">
        <v>17</v>
      </c>
      <c r="N38" s="186" t="n">
        <v>6</v>
      </c>
      <c r="O38" s="107">
        <f>SUM(L38:N38)</f>
        <v/>
      </c>
      <c r="P38" s="74" t="n"/>
    </row>
    <row r="39">
      <c r="A39" s="73">
        <f>ROW()-2</f>
        <v/>
      </c>
      <c r="B39" s="74" t="inlineStr">
        <is>
          <t>염모</t>
        </is>
      </c>
      <c r="C39" s="75" t="n"/>
      <c r="D39" s="125" t="inlineStr">
        <is>
          <t>직접</t>
        </is>
      </c>
      <c r="E39" s="125" t="inlineStr">
        <is>
          <t>교대</t>
        </is>
      </c>
      <c r="F39" s="77" t="inlineStr">
        <is>
          <t>OP</t>
        </is>
      </c>
      <c r="G39" s="74" t="inlineStr">
        <is>
          <t>김정미</t>
        </is>
      </c>
      <c r="H39" s="124" t="inlineStr">
        <is>
          <t>010-7704-6811</t>
        </is>
      </c>
      <c r="I39" s="79" t="n">
        <v>39083</v>
      </c>
      <c r="J39" s="80" t="n">
        <v>45536</v>
      </c>
      <c r="K39" s="81" t="n"/>
      <c r="L39" s="186" t="n">
        <v>21</v>
      </c>
      <c r="M39" s="187" t="n">
        <v>32</v>
      </c>
      <c r="N39" s="186" t="n">
        <v>6</v>
      </c>
      <c r="O39" s="107">
        <f>SUM(L39:N39)</f>
        <v/>
      </c>
      <c r="P39" s="74" t="n"/>
    </row>
    <row r="40">
      <c r="A40" s="73">
        <f>ROW()-2</f>
        <v/>
      </c>
      <c r="B40" s="74" t="inlineStr">
        <is>
          <t>튜브</t>
        </is>
      </c>
      <c r="C40" s="75" t="n"/>
      <c r="D40" s="125" t="inlineStr">
        <is>
          <t>직접</t>
        </is>
      </c>
      <c r="E40" s="125" t="inlineStr">
        <is>
          <t>교대</t>
        </is>
      </c>
      <c r="F40" s="77" t="inlineStr">
        <is>
          <t>OP</t>
        </is>
      </c>
      <c r="G40" s="74" t="inlineStr">
        <is>
          <t>김정선</t>
        </is>
      </c>
      <c r="H40" s="124" t="inlineStr">
        <is>
          <t>010-5178-8315</t>
        </is>
      </c>
      <c r="I40" s="79" t="n">
        <v>40763</v>
      </c>
      <c r="J40" s="80" t="n">
        <v>45536</v>
      </c>
      <c r="K40" s="81" t="n"/>
      <c r="L40" s="186" t="n">
        <v>25</v>
      </c>
      <c r="M40" s="187" t="n">
        <v>22</v>
      </c>
      <c r="N40" s="186" t="n">
        <v>22</v>
      </c>
      <c r="O40" s="107">
        <f>SUM(L40:N40)</f>
        <v/>
      </c>
      <c r="P40" s="74" t="n"/>
    </row>
    <row r="41">
      <c r="A41" s="73">
        <f>ROW()-2</f>
        <v/>
      </c>
      <c r="B41" s="74" t="inlineStr">
        <is>
          <t>계획자</t>
        </is>
      </c>
      <c r="C41" s="75" t="n"/>
      <c r="D41" s="125" t="inlineStr">
        <is>
          <t>간접</t>
        </is>
      </c>
      <c r="E41" s="125" t="inlineStr">
        <is>
          <t>교대</t>
        </is>
      </c>
      <c r="F41" s="77" t="inlineStr">
        <is>
          <t>계획자</t>
        </is>
      </c>
      <c r="G41" s="74" t="inlineStr">
        <is>
          <t>김종은</t>
        </is>
      </c>
      <c r="H41" s="124" t="inlineStr">
        <is>
          <t>010-5194-5149</t>
        </is>
      </c>
      <c r="I41" s="79" t="n">
        <v>42233</v>
      </c>
      <c r="J41" s="80" t="n">
        <v>44197</v>
      </c>
      <c r="K41" s="81" t="n"/>
      <c r="L41" s="186" t="n">
        <v>0</v>
      </c>
      <c r="M41" s="187" t="n">
        <v>38</v>
      </c>
      <c r="N41" s="186" t="n">
        <v>9</v>
      </c>
      <c r="O41" s="107">
        <f>SUM(L41:N41)</f>
        <v/>
      </c>
      <c r="P41" s="74" t="n"/>
    </row>
    <row r="42">
      <c r="A42" s="73">
        <f>ROW()-2</f>
        <v/>
      </c>
      <c r="B42" s="74" t="inlineStr">
        <is>
          <t>직선</t>
        </is>
      </c>
      <c r="C42" s="75" t="n"/>
      <c r="D42" s="125" t="inlineStr">
        <is>
          <t>직접</t>
        </is>
      </c>
      <c r="E42" s="125" t="inlineStr">
        <is>
          <t>교대</t>
        </is>
      </c>
      <c r="F42" s="77" t="inlineStr">
        <is>
          <t>작업자</t>
        </is>
      </c>
      <c r="G42" s="74" t="inlineStr">
        <is>
          <t>김주은</t>
        </is>
      </c>
      <c r="H42" s="124" t="inlineStr">
        <is>
          <t>010-4331-7303</t>
        </is>
      </c>
      <c r="I42" s="79" t="n">
        <v>43258</v>
      </c>
      <c r="J42" s="80" t="n">
        <v>45536</v>
      </c>
      <c r="K42" s="81" t="n"/>
      <c r="L42" s="186" t="n">
        <v>39</v>
      </c>
      <c r="M42" s="187" t="n">
        <v>47</v>
      </c>
      <c r="N42" s="186" t="n">
        <v>33</v>
      </c>
      <c r="O42" s="107">
        <f>SUM(L42:N42)</f>
        <v/>
      </c>
      <c r="P42" s="74" t="n"/>
    </row>
    <row r="43">
      <c r="A43" s="73">
        <f>ROW()-2</f>
        <v/>
      </c>
      <c r="B43" s="74" t="inlineStr">
        <is>
          <t>튜브</t>
        </is>
      </c>
      <c r="C43" s="75" t="n"/>
      <c r="D43" s="125" t="inlineStr">
        <is>
          <t>직접</t>
        </is>
      </c>
      <c r="E43" s="125" t="inlineStr">
        <is>
          <t>교대</t>
        </is>
      </c>
      <c r="F43" s="77" t="inlineStr">
        <is>
          <t>작업자</t>
        </is>
      </c>
      <c r="G43" s="74" t="inlineStr">
        <is>
          <t>김진란</t>
        </is>
      </c>
      <c r="H43" s="124" t="inlineStr">
        <is>
          <t>010-6480-5448</t>
        </is>
      </c>
      <c r="I43" s="79" t="n">
        <v>39083</v>
      </c>
      <c r="J43" s="80" t="n">
        <v>45536</v>
      </c>
      <c r="K43" s="81" t="n"/>
      <c r="L43" s="186" t="n">
        <v>18</v>
      </c>
      <c r="M43" s="187" t="n">
        <v>61</v>
      </c>
      <c r="N43" s="186" t="n">
        <v>29</v>
      </c>
      <c r="O43" s="107">
        <f>SUM(L43:N43)</f>
        <v/>
      </c>
      <c r="P43" s="74" t="n"/>
    </row>
    <row r="44">
      <c r="A44" s="73">
        <f>ROW()-2</f>
        <v/>
      </c>
      <c r="B44" s="74" t="inlineStr">
        <is>
          <t>튜브</t>
        </is>
      </c>
      <c r="C44" s="75" t="n"/>
      <c r="D44" s="125" t="inlineStr">
        <is>
          <t>간접</t>
        </is>
      </c>
      <c r="E44" s="125" t="inlineStr">
        <is>
          <t>교대</t>
        </is>
      </c>
      <c r="F44" s="77" t="inlineStr">
        <is>
          <t>도우미</t>
        </is>
      </c>
      <c r="G44" s="74" t="inlineStr">
        <is>
          <t>김진만</t>
        </is>
      </c>
      <c r="H44" s="124" t="inlineStr">
        <is>
          <t>010-7917-0393</t>
        </is>
      </c>
      <c r="I44" s="79" t="n">
        <v>40544</v>
      </c>
      <c r="J44" s="80" t="n">
        <v>45536</v>
      </c>
      <c r="K44" s="81" t="n"/>
      <c r="L44" s="186" t="n">
        <v>46</v>
      </c>
      <c r="M44" s="187" t="n">
        <v>69</v>
      </c>
      <c r="N44" s="186" t="n">
        <v>63</v>
      </c>
      <c r="O44" s="107">
        <f>SUM(L44:N44)</f>
        <v/>
      </c>
      <c r="P44" s="74">
        <f>O44-$Q$3</f>
        <v/>
      </c>
    </row>
    <row r="45">
      <c r="A45" s="73">
        <f>ROW()-2</f>
        <v/>
      </c>
      <c r="B45" s="74" t="inlineStr">
        <is>
          <t>PM</t>
        </is>
      </c>
      <c r="C45" s="75" t="n"/>
      <c r="D45" s="125" t="inlineStr">
        <is>
          <t>간접</t>
        </is>
      </c>
      <c r="E45" s="125" t="inlineStr">
        <is>
          <t>교대</t>
        </is>
      </c>
      <c r="F45" s="77" t="inlineStr">
        <is>
          <t>PM</t>
        </is>
      </c>
      <c r="G45" s="74" t="inlineStr">
        <is>
          <t>김태환</t>
        </is>
      </c>
      <c r="H45" s="124" t="inlineStr">
        <is>
          <t>010-4417-6897</t>
        </is>
      </c>
      <c r="I45" s="79" t="n">
        <v>42422</v>
      </c>
      <c r="J45" s="80" t="n">
        <v>45536</v>
      </c>
      <c r="K45" s="81" t="n"/>
      <c r="L45" s="186" t="n">
        <v>53</v>
      </c>
      <c r="M45" s="187" t="n">
        <v>58</v>
      </c>
      <c r="N45" s="186" t="n">
        <v>58.5</v>
      </c>
      <c r="O45" s="107">
        <f>SUM(L45:N45)</f>
        <v/>
      </c>
      <c r="P45" s="74">
        <f>O45-$Q$3</f>
        <v/>
      </c>
    </row>
    <row r="46">
      <c r="A46" s="73">
        <f>ROW()-2</f>
        <v/>
      </c>
      <c r="B46" s="74" t="inlineStr">
        <is>
          <t>멀티</t>
        </is>
      </c>
      <c r="C46" s="75" t="n"/>
      <c r="D46" s="125" t="inlineStr">
        <is>
          <t>직접</t>
        </is>
      </c>
      <c r="E46" s="125" t="inlineStr">
        <is>
          <t>교대</t>
        </is>
      </c>
      <c r="F46" s="77" t="inlineStr">
        <is>
          <t>OP</t>
        </is>
      </c>
      <c r="G46" s="74" t="inlineStr">
        <is>
          <t>김해경</t>
        </is>
      </c>
      <c r="H46" s="124" t="inlineStr">
        <is>
          <t>010-9943-7756</t>
        </is>
      </c>
      <c r="I46" s="79" t="n">
        <v>39083</v>
      </c>
      <c r="J46" s="80" t="n">
        <v>45536</v>
      </c>
      <c r="K46" s="81" t="n"/>
      <c r="L46" s="186" t="n">
        <v>39</v>
      </c>
      <c r="M46" s="187" t="n">
        <v>58</v>
      </c>
      <c r="N46" s="186" t="n">
        <v>75</v>
      </c>
      <c r="O46" s="107">
        <f>SUM(L46:N46)</f>
        <v/>
      </c>
      <c r="P46" s="74">
        <f>O46-$Q$3</f>
        <v/>
      </c>
    </row>
    <row r="47">
      <c r="A47" s="73">
        <f>ROW()-2</f>
        <v/>
      </c>
      <c r="B47" s="74" t="inlineStr">
        <is>
          <t>초격차</t>
        </is>
      </c>
      <c r="C47" s="75" t="n"/>
      <c r="D47" s="125" t="inlineStr">
        <is>
          <t>직접</t>
        </is>
      </c>
      <c r="E47" s="125" t="inlineStr">
        <is>
          <t>교대</t>
        </is>
      </c>
      <c r="F47" s="77" t="inlineStr">
        <is>
          <t>OP</t>
        </is>
      </c>
      <c r="G47" s="74" t="inlineStr">
        <is>
          <t>김홍미</t>
        </is>
      </c>
      <c r="H47" s="124" t="inlineStr">
        <is>
          <t>010-3236-4233</t>
        </is>
      </c>
      <c r="I47" s="79" t="n">
        <v>39748</v>
      </c>
      <c r="J47" s="80" t="n">
        <v>45536</v>
      </c>
      <c r="K47" s="81" t="n"/>
      <c r="L47" s="186" t="n">
        <v>36</v>
      </c>
      <c r="M47" s="187" t="n">
        <v>37</v>
      </c>
      <c r="N47" s="186" t="n">
        <v>41</v>
      </c>
      <c r="O47" s="107">
        <f>SUM(L47:N47)</f>
        <v/>
      </c>
      <c r="P47" s="74" t="n"/>
    </row>
    <row r="48">
      <c r="A48" s="73">
        <f>ROW()-2</f>
        <v/>
      </c>
      <c r="B48" s="74" t="inlineStr">
        <is>
          <t>초격차</t>
        </is>
      </c>
      <c r="C48" s="75" t="n"/>
      <c r="D48" s="125" t="inlineStr">
        <is>
          <t>직접</t>
        </is>
      </c>
      <c r="E48" s="125" t="inlineStr">
        <is>
          <t>교대</t>
        </is>
      </c>
      <c r="F48" s="77" t="inlineStr">
        <is>
          <t>작업자</t>
        </is>
      </c>
      <c r="G48" s="74" t="inlineStr">
        <is>
          <t>김희빈</t>
        </is>
      </c>
      <c r="H48" s="124" t="inlineStr">
        <is>
          <t>010-9183-7796</t>
        </is>
      </c>
      <c r="I48" s="79" t="n">
        <v>42552</v>
      </c>
      <c r="J48" s="80" t="n">
        <v>45536</v>
      </c>
      <c r="K48" s="81" t="n"/>
      <c r="L48" s="186" t="n">
        <v>42</v>
      </c>
      <c r="M48" s="187" t="n">
        <v>66</v>
      </c>
      <c r="N48" s="186" t="n">
        <v>61</v>
      </c>
      <c r="O48" s="107">
        <f>SUM(L48:N48)</f>
        <v/>
      </c>
      <c r="P48" s="74">
        <f>O48-$Q$3</f>
        <v/>
      </c>
    </row>
    <row r="49">
      <c r="A49" s="73">
        <f>ROW()-2</f>
        <v/>
      </c>
      <c r="B49" s="74" t="inlineStr">
        <is>
          <t>멀티</t>
        </is>
      </c>
      <c r="C49" s="75" t="n"/>
      <c r="D49" s="125" t="inlineStr">
        <is>
          <t>직접</t>
        </is>
      </c>
      <c r="E49" s="125" t="inlineStr">
        <is>
          <t>교대</t>
        </is>
      </c>
      <c r="F49" s="77" t="inlineStr">
        <is>
          <t>작업자</t>
        </is>
      </c>
      <c r="G49" s="74" t="inlineStr">
        <is>
          <t>남곤우</t>
        </is>
      </c>
      <c r="H49" s="124" t="inlineStr">
        <is>
          <t>010-5450-7075</t>
        </is>
      </c>
      <c r="I49" s="79" t="n">
        <v>45729</v>
      </c>
      <c r="J49" s="80" t="n">
        <v>45809</v>
      </c>
      <c r="K49" s="81" t="n"/>
      <c r="L49" s="186" t="n">
        <v>21</v>
      </c>
      <c r="M49" s="187" t="n">
        <v>32</v>
      </c>
      <c r="N49" s="186" t="n">
        <v>3</v>
      </c>
      <c r="O49" s="107">
        <f>SUM(L49:N49)</f>
        <v/>
      </c>
      <c r="P49" s="74" t="n"/>
    </row>
    <row r="50">
      <c r="A50" s="73">
        <f>ROW()-2</f>
        <v/>
      </c>
      <c r="B50" s="74" t="inlineStr">
        <is>
          <t>HnB</t>
        </is>
      </c>
      <c r="C50" s="82" t="n"/>
      <c r="D50" s="125" t="inlineStr">
        <is>
          <t>간접</t>
        </is>
      </c>
      <c r="E50" s="125" t="inlineStr">
        <is>
          <t>교대</t>
        </is>
      </c>
      <c r="F50" s="77" t="inlineStr">
        <is>
          <t>도우미</t>
        </is>
      </c>
      <c r="G50" s="74" t="inlineStr">
        <is>
          <t>류미옥</t>
        </is>
      </c>
      <c r="H50" s="124" t="inlineStr">
        <is>
          <t>010-2590-8635</t>
        </is>
      </c>
      <c r="I50" s="79" t="n">
        <v>40829</v>
      </c>
      <c r="J50" s="80" t="n">
        <v>45536</v>
      </c>
      <c r="K50" s="81" t="n"/>
      <c r="L50" s="186" t="n">
        <v>51</v>
      </c>
      <c r="M50" s="187" t="n">
        <v>47</v>
      </c>
      <c r="N50" s="186" t="n">
        <v>42</v>
      </c>
      <c r="O50" s="107">
        <f>SUM(L50:N50)</f>
        <v/>
      </c>
      <c r="P50" s="74" t="n"/>
    </row>
    <row r="51">
      <c r="A51" s="73">
        <f>ROW()-2</f>
        <v/>
      </c>
      <c r="B51" s="74" t="inlineStr">
        <is>
          <t>PM</t>
        </is>
      </c>
      <c r="C51" s="75" t="n"/>
      <c r="D51" s="125" t="inlineStr">
        <is>
          <t>간접</t>
        </is>
      </c>
      <c r="E51" s="125" t="inlineStr">
        <is>
          <t>교대</t>
        </is>
      </c>
      <c r="F51" s="77" t="inlineStr">
        <is>
          <t>PM</t>
        </is>
      </c>
      <c r="G51" s="74" t="inlineStr">
        <is>
          <t>문석</t>
        </is>
      </c>
      <c r="H51" s="124" t="inlineStr">
        <is>
          <t>010-3415-5432</t>
        </is>
      </c>
      <c r="I51" s="79" t="n">
        <v>41463</v>
      </c>
      <c r="J51" s="80" t="n">
        <v>45536</v>
      </c>
      <c r="K51" s="81" t="n"/>
      <c r="L51" s="186" t="n">
        <v>87</v>
      </c>
      <c r="M51" s="187" t="n">
        <v>85</v>
      </c>
      <c r="N51" s="186" t="n">
        <v>92.5</v>
      </c>
      <c r="O51" s="107">
        <f>SUM(L51:N51)</f>
        <v/>
      </c>
      <c r="P51" s="74">
        <f>O51-$Q$3</f>
        <v/>
      </c>
    </row>
    <row r="52">
      <c r="A52" s="73">
        <f>ROW()-2</f>
        <v/>
      </c>
      <c r="B52" s="74" t="inlineStr">
        <is>
          <t>염모</t>
        </is>
      </c>
      <c r="C52" s="75" t="n"/>
      <c r="D52" s="125" t="inlineStr">
        <is>
          <t>직접</t>
        </is>
      </c>
      <c r="E52" s="125" t="inlineStr">
        <is>
          <t>교대</t>
        </is>
      </c>
      <c r="F52" s="77" t="inlineStr">
        <is>
          <t>OP</t>
        </is>
      </c>
      <c r="G52" s="74" t="inlineStr">
        <is>
          <t>문순자</t>
        </is>
      </c>
      <c r="H52" s="124" t="inlineStr">
        <is>
          <t>010-7552-4188</t>
        </is>
      </c>
      <c r="I52" s="79" t="n">
        <v>40987</v>
      </c>
      <c r="J52" s="80" t="n">
        <v>45536</v>
      </c>
      <c r="K52" s="81" t="n"/>
      <c r="L52" s="186" t="n">
        <v>35</v>
      </c>
      <c r="M52" s="187" t="n">
        <v>23</v>
      </c>
      <c r="N52" s="186" t="n">
        <v>0</v>
      </c>
      <c r="O52" s="107">
        <f>SUM(L52:N52)</f>
        <v/>
      </c>
      <c r="P52" s="74" t="n"/>
    </row>
    <row r="53">
      <c r="A53" s="73">
        <f>ROW()-2</f>
        <v/>
      </c>
      <c r="B53" s="74" t="inlineStr">
        <is>
          <t>염모</t>
        </is>
      </c>
      <c r="C53" s="75" t="n"/>
      <c r="D53" s="125" t="inlineStr">
        <is>
          <t>직접</t>
        </is>
      </c>
      <c r="E53" s="125" t="inlineStr">
        <is>
          <t>교대</t>
        </is>
      </c>
      <c r="F53" s="77" t="inlineStr">
        <is>
          <t>OP</t>
        </is>
      </c>
      <c r="G53" s="74" t="inlineStr">
        <is>
          <t>박계숙</t>
        </is>
      </c>
      <c r="H53" s="124" t="inlineStr">
        <is>
          <t>010-9737-0321</t>
        </is>
      </c>
      <c r="I53" s="79" t="n">
        <v>41883</v>
      </c>
      <c r="J53" s="80" t="n">
        <v>45536</v>
      </c>
      <c r="K53" s="81" t="n"/>
      <c r="L53" s="186" t="n">
        <v>35</v>
      </c>
      <c r="M53" s="187" t="n">
        <v>17</v>
      </c>
      <c r="N53" s="186" t="n">
        <v>15</v>
      </c>
      <c r="O53" s="107">
        <f>SUM(L53:N53)</f>
        <v/>
      </c>
      <c r="P53" s="74" t="n"/>
    </row>
    <row r="54">
      <c r="A54" s="73">
        <f>ROW()-2</f>
        <v/>
      </c>
      <c r="B54" s="74" t="inlineStr">
        <is>
          <t>O/C</t>
        </is>
      </c>
      <c r="C54" s="75" t="n"/>
      <c r="D54" s="125" t="inlineStr">
        <is>
          <t>간접</t>
        </is>
      </c>
      <c r="E54" s="125" t="inlineStr">
        <is>
          <t>교대</t>
        </is>
      </c>
      <c r="F54" s="77" t="inlineStr">
        <is>
          <t>PM</t>
        </is>
      </c>
      <c r="G54" s="74" t="inlineStr">
        <is>
          <t>박동찬</t>
        </is>
      </c>
      <c r="H54" s="124" t="inlineStr">
        <is>
          <t>010-9404-2768</t>
        </is>
      </c>
      <c r="I54" s="79" t="n">
        <v>45145</v>
      </c>
      <c r="J54" s="80" t="n">
        <v>45536</v>
      </c>
      <c r="K54" s="81" t="n"/>
      <c r="L54" s="186" t="n">
        <v>33</v>
      </c>
      <c r="M54" s="187" t="n">
        <v>6</v>
      </c>
      <c r="N54" s="186" t="n">
        <v>0</v>
      </c>
      <c r="O54" s="107">
        <f>SUM(L54:N54)</f>
        <v/>
      </c>
      <c r="P54" s="74" t="n"/>
    </row>
    <row r="55">
      <c r="A55" s="73">
        <f>ROW()-2</f>
        <v/>
      </c>
      <c r="B55" s="74" t="inlineStr">
        <is>
          <t>O/C</t>
        </is>
      </c>
      <c r="C55" s="75" t="n"/>
      <c r="D55" s="125" t="inlineStr">
        <is>
          <t>직접</t>
        </is>
      </c>
      <c r="E55" s="125" t="inlineStr">
        <is>
          <t>교대</t>
        </is>
      </c>
      <c r="F55" s="77" t="inlineStr">
        <is>
          <t>OP</t>
        </is>
      </c>
      <c r="G55" s="74" t="inlineStr">
        <is>
          <t>박문숙</t>
        </is>
      </c>
      <c r="H55" s="124" t="inlineStr">
        <is>
          <t>010-8403-4649</t>
        </is>
      </c>
      <c r="I55" s="79" t="n">
        <v>39083</v>
      </c>
      <c r="J55" s="80" t="n">
        <v>45536</v>
      </c>
      <c r="K55" s="81" t="n"/>
      <c r="L55" s="186" t="n">
        <v>53</v>
      </c>
      <c r="M55" s="187" t="n">
        <v>29</v>
      </c>
      <c r="N55" s="186" t="n">
        <v>6</v>
      </c>
      <c r="O55" s="107">
        <f>SUM(L55:N55)</f>
        <v/>
      </c>
      <c r="P55" s="74" t="n"/>
    </row>
    <row r="56">
      <c r="A56" s="73" t="n"/>
      <c r="B56" s="74" t="inlineStr">
        <is>
          <t>멀티</t>
        </is>
      </c>
      <c r="C56" s="75" t="n"/>
      <c r="D56" s="125" t="n"/>
      <c r="E56" s="125" t="n"/>
      <c r="F56" s="77" t="n"/>
      <c r="G56" s="74" t="inlineStr">
        <is>
          <t>박미자</t>
        </is>
      </c>
      <c r="H56" s="124" t="n"/>
      <c r="I56" s="79" t="n">
        <v>46079</v>
      </c>
      <c r="J56" s="80" t="n">
        <v>46143</v>
      </c>
      <c r="K56" s="81" t="n"/>
      <c r="L56" s="186" t="n">
        <v>33</v>
      </c>
      <c r="M56" s="187" t="n">
        <v>46</v>
      </c>
      <c r="N56" s="186" t="n">
        <v>32</v>
      </c>
      <c r="O56" s="107">
        <f>SUM(L56:N56)</f>
        <v/>
      </c>
      <c r="P56" s="74" t="n"/>
    </row>
    <row r="57">
      <c r="A57" s="73">
        <f>ROW()-2</f>
        <v/>
      </c>
      <c r="B57" s="74" t="inlineStr">
        <is>
          <t>멀티</t>
        </is>
      </c>
      <c r="C57" s="75" t="n"/>
      <c r="D57" s="125" t="inlineStr">
        <is>
          <t>직접</t>
        </is>
      </c>
      <c r="E57" s="125" t="inlineStr">
        <is>
          <t>교대</t>
        </is>
      </c>
      <c r="F57" s="77" t="inlineStr">
        <is>
          <t>OP</t>
        </is>
      </c>
      <c r="G57" s="74" t="inlineStr">
        <is>
          <t>박상희</t>
        </is>
      </c>
      <c r="H57" s="124" t="inlineStr">
        <is>
          <t>010-9457-0887</t>
        </is>
      </c>
      <c r="I57" s="79" t="n">
        <v>40665</v>
      </c>
      <c r="J57" s="80" t="n">
        <v>45536</v>
      </c>
      <c r="K57" s="81" t="n"/>
      <c r="L57" s="186" t="n">
        <v>53</v>
      </c>
      <c r="M57" s="187" t="n">
        <v>50</v>
      </c>
      <c r="N57" s="186" t="n">
        <v>49</v>
      </c>
      <c r="O57" s="107">
        <f>SUM(L57:N57)</f>
        <v/>
      </c>
      <c r="P57" s="74" t="n"/>
    </row>
    <row r="58">
      <c r="A58" s="73">
        <f>ROW()-2</f>
        <v/>
      </c>
      <c r="B58" s="74" t="inlineStr">
        <is>
          <t>염모</t>
        </is>
      </c>
      <c r="C58" s="75" t="n"/>
      <c r="D58" s="125" t="inlineStr">
        <is>
          <t>간접</t>
        </is>
      </c>
      <c r="E58" s="125" t="inlineStr">
        <is>
          <t>교대</t>
        </is>
      </c>
      <c r="F58" s="77" t="inlineStr">
        <is>
          <t>PM</t>
        </is>
      </c>
      <c r="G58" s="74" t="inlineStr">
        <is>
          <t>박선준</t>
        </is>
      </c>
      <c r="H58" s="124" t="inlineStr">
        <is>
          <t>010-5403-1205</t>
        </is>
      </c>
      <c r="I58" s="79" t="n">
        <v>45775</v>
      </c>
      <c r="J58" s="80" t="n">
        <v>45775</v>
      </c>
      <c r="K58" s="81" t="n"/>
      <c r="L58" s="186" t="n">
        <v>23.5</v>
      </c>
      <c r="M58" s="187" t="n">
        <v>5</v>
      </c>
      <c r="N58" s="186" t="n">
        <v>9</v>
      </c>
      <c r="O58" s="107">
        <f>SUM(L58:N58)</f>
        <v/>
      </c>
      <c r="P58" s="74" t="n"/>
    </row>
    <row r="59">
      <c r="A59" s="73">
        <f>ROW()-2</f>
        <v/>
      </c>
      <c r="B59" s="74" t="inlineStr">
        <is>
          <t>염모</t>
        </is>
      </c>
      <c r="C59" s="75" t="n"/>
      <c r="D59" s="125" t="inlineStr">
        <is>
          <t>직접</t>
        </is>
      </c>
      <c r="E59" s="125" t="inlineStr">
        <is>
          <t>교대</t>
        </is>
      </c>
      <c r="F59" s="77" t="inlineStr">
        <is>
          <t>OP</t>
        </is>
      </c>
      <c r="G59" s="74" t="inlineStr">
        <is>
          <t>박수진</t>
        </is>
      </c>
      <c r="H59" s="124" t="inlineStr">
        <is>
          <t>010-8711-7537</t>
        </is>
      </c>
      <c r="I59" s="79" t="n">
        <v>41365</v>
      </c>
      <c r="J59" s="80" t="n">
        <v>45536</v>
      </c>
      <c r="K59" s="81" t="n"/>
      <c r="L59" s="186" t="n">
        <v>30</v>
      </c>
      <c r="M59" s="187" t="n">
        <v>6</v>
      </c>
      <c r="N59" s="186" t="n">
        <v>3</v>
      </c>
      <c r="O59" s="107">
        <f>SUM(L59:N59)</f>
        <v/>
      </c>
      <c r="P59" s="74" t="n"/>
    </row>
    <row r="60">
      <c r="A60" s="73">
        <f>ROW()-2</f>
        <v/>
      </c>
      <c r="B60" s="74" t="inlineStr">
        <is>
          <t>초격차</t>
        </is>
      </c>
      <c r="C60" s="75" t="n"/>
      <c r="D60" s="125" t="inlineStr">
        <is>
          <t>직접</t>
        </is>
      </c>
      <c r="E60" s="125" t="inlineStr">
        <is>
          <t>교대</t>
        </is>
      </c>
      <c r="F60" s="77" t="inlineStr">
        <is>
          <t>OP</t>
        </is>
      </c>
      <c r="G60" s="74" t="inlineStr">
        <is>
          <t>박순자</t>
        </is>
      </c>
      <c r="H60" s="124" t="inlineStr">
        <is>
          <t>010-7338-2576</t>
        </is>
      </c>
      <c r="I60" s="79" t="n">
        <v>40995</v>
      </c>
      <c r="J60" s="80" t="n">
        <v>45536</v>
      </c>
      <c r="K60" s="81" t="n"/>
      <c r="L60" s="186" t="n">
        <v>27</v>
      </c>
      <c r="M60" s="187" t="n">
        <v>31</v>
      </c>
      <c r="N60" s="186" t="n">
        <v>32</v>
      </c>
      <c r="O60" s="107">
        <f>SUM(L60:N60)</f>
        <v/>
      </c>
      <c r="P60" s="74" t="n"/>
    </row>
    <row r="61">
      <c r="A61" s="73">
        <f>ROW()-2</f>
        <v/>
      </c>
      <c r="B61" s="74" t="inlineStr">
        <is>
          <t>멀티</t>
        </is>
      </c>
      <c r="C61" s="75" t="n"/>
      <c r="D61" s="125" t="inlineStr">
        <is>
          <t>직접</t>
        </is>
      </c>
      <c r="E61" s="125" t="inlineStr">
        <is>
          <t>교대</t>
        </is>
      </c>
      <c r="F61" s="77" t="inlineStr">
        <is>
          <t>OP</t>
        </is>
      </c>
      <c r="G61" s="74" t="inlineStr">
        <is>
          <t>박순희</t>
        </is>
      </c>
      <c r="H61" s="124" t="inlineStr">
        <is>
          <t>010-3228-0760</t>
        </is>
      </c>
      <c r="I61" s="79" t="n">
        <v>41671</v>
      </c>
      <c r="J61" s="80" t="n">
        <v>45536</v>
      </c>
      <c r="K61" s="81" t="n"/>
      <c r="L61" s="186" t="n">
        <v>27</v>
      </c>
      <c r="M61" s="187" t="n">
        <v>35</v>
      </c>
      <c r="N61" s="186" t="n">
        <v>27</v>
      </c>
      <c r="O61" s="107">
        <f>SUM(L61:N61)</f>
        <v/>
      </c>
      <c r="P61" s="74" t="n"/>
    </row>
    <row r="62">
      <c r="A62" s="73">
        <f>ROW()-2</f>
        <v/>
      </c>
      <c r="B62" s="74" t="inlineStr">
        <is>
          <t>염모</t>
        </is>
      </c>
      <c r="C62" s="75" t="n"/>
      <c r="D62" s="125" t="inlineStr">
        <is>
          <t>직접</t>
        </is>
      </c>
      <c r="E62" s="125" t="inlineStr">
        <is>
          <t>교대</t>
        </is>
      </c>
      <c r="F62" s="77" t="inlineStr">
        <is>
          <t>OP</t>
        </is>
      </c>
      <c r="G62" s="74" t="inlineStr">
        <is>
          <t>박은경</t>
        </is>
      </c>
      <c r="H62" s="124" t="inlineStr">
        <is>
          <t>010-2403-0376</t>
        </is>
      </c>
      <c r="I62" s="79" t="n">
        <v>41820</v>
      </c>
      <c r="J62" s="80" t="n">
        <v>45536</v>
      </c>
      <c r="K62" s="81" t="n"/>
      <c r="L62" s="186" t="n">
        <v>29</v>
      </c>
      <c r="M62" s="187" t="n">
        <v>16.5</v>
      </c>
      <c r="N62" s="186" t="n">
        <v>12</v>
      </c>
      <c r="O62" s="107">
        <f>SUM(L62:N62)</f>
        <v/>
      </c>
      <c r="P62" s="74" t="n"/>
    </row>
    <row r="63">
      <c r="A63" s="73">
        <f>ROW()-2</f>
        <v/>
      </c>
      <c r="B63" s="74" t="inlineStr">
        <is>
          <t>염모</t>
        </is>
      </c>
      <c r="C63" s="75" t="n"/>
      <c r="D63" s="125" t="inlineStr">
        <is>
          <t>직접</t>
        </is>
      </c>
      <c r="E63" s="125" t="inlineStr">
        <is>
          <t>교대</t>
        </is>
      </c>
      <c r="F63" s="77" t="inlineStr">
        <is>
          <t>OP</t>
        </is>
      </c>
      <c r="G63" s="74" t="inlineStr">
        <is>
          <t>박은화</t>
        </is>
      </c>
      <c r="H63" s="124" t="inlineStr">
        <is>
          <t>010-7440-3169</t>
        </is>
      </c>
      <c r="I63" s="79" t="n">
        <v>41792</v>
      </c>
      <c r="J63" s="80" t="n">
        <v>45536</v>
      </c>
      <c r="K63" s="81" t="n"/>
      <c r="L63" s="186" t="n">
        <v>26</v>
      </c>
      <c r="M63" s="187" t="n">
        <v>20</v>
      </c>
      <c r="N63" s="186" t="n">
        <v>6</v>
      </c>
      <c r="O63" s="107">
        <f>SUM(L63:N63)</f>
        <v/>
      </c>
      <c r="P63" s="74" t="n"/>
    </row>
    <row r="64">
      <c r="A64" s="73">
        <f>ROW()-2</f>
        <v/>
      </c>
      <c r="B64" s="74" t="inlineStr">
        <is>
          <t>초격차</t>
        </is>
      </c>
      <c r="C64" s="75" t="n"/>
      <c r="D64" s="125" t="inlineStr">
        <is>
          <t>직접</t>
        </is>
      </c>
      <c r="E64" s="125" t="inlineStr">
        <is>
          <t>교대</t>
        </is>
      </c>
      <c r="F64" s="77" t="inlineStr">
        <is>
          <t>OP</t>
        </is>
      </c>
      <c r="G64" s="74" t="inlineStr">
        <is>
          <t>박은희</t>
        </is>
      </c>
      <c r="H64" s="124" t="inlineStr">
        <is>
          <t>010-4465-8665</t>
        </is>
      </c>
      <c r="I64" s="79" t="n">
        <v>42590</v>
      </c>
      <c r="J64" s="80" t="n">
        <v>45536</v>
      </c>
      <c r="K64" s="81" t="n"/>
      <c r="L64" s="186" t="n">
        <v>18</v>
      </c>
      <c r="M64" s="187" t="n">
        <v>16</v>
      </c>
      <c r="N64" s="186" t="n">
        <v>16</v>
      </c>
      <c r="O64" s="107">
        <f>SUM(L64:N64)</f>
        <v/>
      </c>
      <c r="P64" s="74" t="n"/>
    </row>
    <row r="65">
      <c r="A65" s="73">
        <f>ROW()-2</f>
        <v/>
      </c>
      <c r="B65" s="74" t="inlineStr">
        <is>
          <t>염모</t>
        </is>
      </c>
      <c r="C65" s="75" t="n"/>
      <c r="D65" s="125" t="inlineStr">
        <is>
          <t>직접</t>
        </is>
      </c>
      <c r="E65" s="125" t="inlineStr">
        <is>
          <t>교대</t>
        </is>
      </c>
      <c r="F65" s="77" t="inlineStr">
        <is>
          <t>작업자</t>
        </is>
      </c>
      <c r="G65" s="74" t="inlineStr">
        <is>
          <t>박재현</t>
        </is>
      </c>
      <c r="H65" s="124" t="inlineStr">
        <is>
          <t>010-4390-4009</t>
        </is>
      </c>
      <c r="I65" s="79" t="n">
        <v>44652</v>
      </c>
      <c r="J65" s="80" t="n">
        <v>45536</v>
      </c>
      <c r="K65" s="81" t="n"/>
      <c r="L65" s="186" t="n">
        <v>0</v>
      </c>
      <c r="M65" s="187" t="n">
        <v>0</v>
      </c>
      <c r="N65" s="186" t="n">
        <v>6</v>
      </c>
      <c r="O65" s="107">
        <f>SUM(L65:N65)</f>
        <v/>
      </c>
      <c r="P65" s="74" t="n"/>
    </row>
    <row r="66">
      <c r="A66" s="73">
        <f>ROW()-2</f>
        <v/>
      </c>
      <c r="B66" s="74" t="inlineStr">
        <is>
          <t>직선</t>
        </is>
      </c>
      <c r="C66" s="82" t="n"/>
      <c r="D66" s="125" t="inlineStr">
        <is>
          <t>직접</t>
        </is>
      </c>
      <c r="E66" s="125" t="inlineStr">
        <is>
          <t>교대</t>
        </is>
      </c>
      <c r="F66" s="77" t="inlineStr">
        <is>
          <t>작업자</t>
        </is>
      </c>
      <c r="G66" s="74" t="inlineStr">
        <is>
          <t>박지수</t>
        </is>
      </c>
      <c r="H66" s="124" t="inlineStr">
        <is>
          <t>010-2660-0117</t>
        </is>
      </c>
      <c r="I66" s="79" t="n">
        <v>45749</v>
      </c>
      <c r="J66" s="80" t="n">
        <v>45839</v>
      </c>
      <c r="K66" s="81" t="n"/>
      <c r="L66" s="186" t="n">
        <v>27</v>
      </c>
      <c r="M66" s="187" t="n">
        <v>32</v>
      </c>
      <c r="N66" s="186" t="n">
        <v>32</v>
      </c>
      <c r="O66" s="107">
        <f>SUM(L66:N66)</f>
        <v/>
      </c>
      <c r="P66" s="74" t="n"/>
    </row>
    <row r="67">
      <c r="A67" s="73">
        <f>ROW()-2</f>
        <v/>
      </c>
      <c r="B67" s="74" t="inlineStr">
        <is>
          <t>O/C</t>
        </is>
      </c>
      <c r="C67" s="75" t="n"/>
      <c r="D67" s="125" t="inlineStr">
        <is>
          <t>직접</t>
        </is>
      </c>
      <c r="E67" s="125" t="inlineStr">
        <is>
          <t>교대</t>
        </is>
      </c>
      <c r="F67" s="77" t="inlineStr">
        <is>
          <t>작업자</t>
        </is>
      </c>
      <c r="G67" s="74" t="inlineStr">
        <is>
          <t>박지영</t>
        </is>
      </c>
      <c r="H67" s="124" t="inlineStr">
        <is>
          <t>010-8010-8464</t>
        </is>
      </c>
      <c r="I67" s="79" t="n">
        <v>43116</v>
      </c>
      <c r="J67" s="80" t="n">
        <v>45536</v>
      </c>
      <c r="K67" s="81" t="n"/>
      <c r="L67" s="186" t="n">
        <v>33</v>
      </c>
      <c r="M67" s="187" t="n">
        <v>26</v>
      </c>
      <c r="N67" s="186" t="n">
        <v>3</v>
      </c>
      <c r="O67" s="107">
        <f>SUM(L67:N67)</f>
        <v/>
      </c>
      <c r="P67" s="74" t="n"/>
    </row>
    <row r="68">
      <c r="A68" s="73" t="n"/>
      <c r="B68" s="74" t="n"/>
      <c r="C68" s="75" t="n"/>
      <c r="D68" s="125" t="n"/>
      <c r="E68" s="125" t="n"/>
      <c r="F68" s="77" t="n"/>
      <c r="G68" s="74" t="inlineStr">
        <is>
          <t>박현희</t>
        </is>
      </c>
      <c r="H68" s="124" t="n"/>
      <c r="I68" s="80" t="n">
        <v>46226</v>
      </c>
      <c r="J68" s="80" t="n">
        <v>46226</v>
      </c>
      <c r="K68" s="81" t="n"/>
      <c r="L68" s="186" t="n">
        <v>0</v>
      </c>
      <c r="M68" s="187" t="n">
        <v>0</v>
      </c>
      <c r="N68" s="186" t="n">
        <v>3</v>
      </c>
      <c r="O68" s="107">
        <f>SUM(L68:N68)</f>
        <v/>
      </c>
      <c r="P68" s="74" t="n"/>
    </row>
    <row r="69">
      <c r="A69" s="73">
        <f>ROW()-2</f>
        <v/>
      </c>
      <c r="B69" s="74" t="inlineStr">
        <is>
          <t>PM</t>
        </is>
      </c>
      <c r="C69" s="75" t="n"/>
      <c r="D69" s="125" t="inlineStr">
        <is>
          <t>간접</t>
        </is>
      </c>
      <c r="E69" s="125" t="inlineStr">
        <is>
          <t>교대</t>
        </is>
      </c>
      <c r="F69" s="77" t="inlineStr">
        <is>
          <t>PM</t>
        </is>
      </c>
      <c r="G69" s="74" t="inlineStr">
        <is>
          <t>서동찬</t>
        </is>
      </c>
      <c r="H69" s="124" t="inlineStr">
        <is>
          <t>010-3598-8575</t>
        </is>
      </c>
      <c r="I69" s="79" t="n">
        <v>42430</v>
      </c>
      <c r="J69" s="80" t="n">
        <v>45536</v>
      </c>
      <c r="K69" s="81" t="n"/>
      <c r="L69" s="186" t="n">
        <v>10</v>
      </c>
      <c r="M69" s="187" t="n">
        <v>8</v>
      </c>
      <c r="N69" s="186" t="n">
        <v>10</v>
      </c>
      <c r="O69" s="107">
        <f>SUM(L69:N69)</f>
        <v/>
      </c>
      <c r="P69" s="74" t="n"/>
    </row>
    <row r="70">
      <c r="A70" s="73">
        <f>ROW()-2</f>
        <v/>
      </c>
      <c r="B70" s="74" t="inlineStr">
        <is>
          <t>직선</t>
        </is>
      </c>
      <c r="C70" s="75" t="n"/>
      <c r="D70" s="125" t="inlineStr">
        <is>
          <t>직접</t>
        </is>
      </c>
      <c r="E70" s="125" t="inlineStr">
        <is>
          <t>교대</t>
        </is>
      </c>
      <c r="F70" s="77" t="inlineStr">
        <is>
          <t>OP</t>
        </is>
      </c>
      <c r="G70" s="74" t="inlineStr">
        <is>
          <t>성순례</t>
        </is>
      </c>
      <c r="H70" s="124" t="inlineStr">
        <is>
          <t>010-4878-4202</t>
        </is>
      </c>
      <c r="I70" s="79" t="n">
        <v>39083</v>
      </c>
      <c r="J70" s="80" t="n">
        <v>45536</v>
      </c>
      <c r="K70" s="81" t="n"/>
      <c r="L70" s="186" t="n">
        <v>45</v>
      </c>
      <c r="M70" s="187" t="n">
        <v>49</v>
      </c>
      <c r="N70" s="186" t="n">
        <v>33</v>
      </c>
      <c r="O70" s="107">
        <f>SUM(L70:N70)</f>
        <v/>
      </c>
      <c r="P70" s="74" t="n"/>
    </row>
    <row r="71">
      <c r="A71" s="73">
        <f>ROW()-2</f>
        <v/>
      </c>
      <c r="B71" s="74" t="inlineStr">
        <is>
          <t>O/C</t>
        </is>
      </c>
      <c r="C71" s="75" t="n"/>
      <c r="D71" s="125" t="inlineStr">
        <is>
          <t>직접</t>
        </is>
      </c>
      <c r="E71" s="125" t="inlineStr">
        <is>
          <t>교대</t>
        </is>
      </c>
      <c r="F71" s="77" t="inlineStr">
        <is>
          <t>작업자</t>
        </is>
      </c>
      <c r="G71" s="74" t="inlineStr">
        <is>
          <t>성영순</t>
        </is>
      </c>
      <c r="H71" s="124" t="inlineStr">
        <is>
          <t>010-4129-4500</t>
        </is>
      </c>
      <c r="I71" s="79" t="n">
        <v>39083</v>
      </c>
      <c r="J71" s="80" t="n">
        <v>45536</v>
      </c>
      <c r="K71" s="81" t="n"/>
      <c r="L71" s="186" t="n">
        <v>30</v>
      </c>
      <c r="M71" s="187" t="n">
        <v>38</v>
      </c>
      <c r="N71" s="186" t="n">
        <v>24</v>
      </c>
      <c r="O71" s="107">
        <f>SUM(L71:N71)</f>
        <v/>
      </c>
      <c r="P71" s="74" t="n"/>
    </row>
    <row r="72">
      <c r="A72" s="73">
        <f>ROW()-2</f>
        <v/>
      </c>
      <c r="B72" s="74" t="inlineStr">
        <is>
          <t>실적/순회</t>
        </is>
      </c>
      <c r="C72" s="82" t="n"/>
      <c r="D72" s="125" t="inlineStr">
        <is>
          <t>간접</t>
        </is>
      </c>
      <c r="E72" s="125" t="inlineStr">
        <is>
          <t>교대</t>
        </is>
      </c>
      <c r="F72" s="77" t="inlineStr">
        <is>
          <t>실직/순회</t>
        </is>
      </c>
      <c r="G72" s="74" t="inlineStr">
        <is>
          <t>성은경</t>
        </is>
      </c>
      <c r="H72" s="124" t="inlineStr">
        <is>
          <t>010-3371-9723</t>
        </is>
      </c>
      <c r="I72" s="79" t="n">
        <v>43558</v>
      </c>
      <c r="J72" s="80" t="n">
        <v>45536</v>
      </c>
      <c r="K72" s="81" t="n"/>
      <c r="L72" s="186" t="n">
        <v>47</v>
      </c>
      <c r="M72" s="187" t="n">
        <v>50</v>
      </c>
      <c r="N72" s="186" t="n">
        <v>63</v>
      </c>
      <c r="O72" s="107">
        <f>SUM(L72:N72)</f>
        <v/>
      </c>
      <c r="P72" s="74">
        <f>O72-$Q$3</f>
        <v/>
      </c>
    </row>
    <row r="73">
      <c r="A73" s="73" t="n"/>
      <c r="B73" s="74" t="n"/>
      <c r="C73" s="82" t="n"/>
      <c r="D73" s="125" t="n"/>
      <c r="E73" s="125" t="n"/>
      <c r="F73" s="77" t="n"/>
      <c r="G73" s="74" t="inlineStr">
        <is>
          <t>손명훈</t>
        </is>
      </c>
      <c r="H73" s="124" t="n"/>
      <c r="I73" s="79" t="n">
        <v>46134</v>
      </c>
      <c r="J73" s="80" t="n">
        <v>46204</v>
      </c>
      <c r="K73" s="81" t="n"/>
      <c r="L73" s="186" t="n">
        <v>0</v>
      </c>
      <c r="M73" s="187" t="n">
        <v>18</v>
      </c>
      <c r="N73" s="186" t="n">
        <v>27</v>
      </c>
      <c r="O73" s="107">
        <f>SUM(L73:N73)</f>
        <v/>
      </c>
      <c r="P73" s="74" t="n"/>
    </row>
    <row r="74">
      <c r="A74" s="73">
        <f>ROW()-2</f>
        <v/>
      </c>
      <c r="B74" s="74" t="inlineStr">
        <is>
          <t>PM</t>
        </is>
      </c>
      <c r="C74" s="75" t="n"/>
      <c r="D74" s="125" t="inlineStr">
        <is>
          <t>간접</t>
        </is>
      </c>
      <c r="E74" s="125" t="inlineStr">
        <is>
          <t>교대</t>
        </is>
      </c>
      <c r="F74" s="77" t="inlineStr">
        <is>
          <t>PM</t>
        </is>
      </c>
      <c r="G74" s="74" t="inlineStr">
        <is>
          <t>송석호</t>
        </is>
      </c>
      <c r="H74" s="124" t="inlineStr">
        <is>
          <t>010-2455-9732</t>
        </is>
      </c>
      <c r="I74" s="79" t="n">
        <v>41015</v>
      </c>
      <c r="J74" s="80" t="n">
        <v>45536</v>
      </c>
      <c r="K74" s="81" t="n"/>
      <c r="L74" s="186" t="n">
        <v>36</v>
      </c>
      <c r="M74" s="187" t="n">
        <v>41</v>
      </c>
      <c r="N74" s="186" t="n">
        <v>45</v>
      </c>
      <c r="O74" s="107">
        <f>SUM(L74:N74)</f>
        <v/>
      </c>
      <c r="P74" s="74" t="n"/>
    </row>
    <row r="75">
      <c r="A75" s="73" t="n"/>
      <c r="B75" s="74" t="inlineStr">
        <is>
          <t>튜브</t>
        </is>
      </c>
      <c r="C75" s="75" t="n"/>
      <c r="D75" s="125" t="inlineStr">
        <is>
          <t>직접</t>
        </is>
      </c>
      <c r="E75" s="125" t="inlineStr">
        <is>
          <t>교대</t>
        </is>
      </c>
      <c r="F75" s="77" t="inlineStr">
        <is>
          <t>OP</t>
        </is>
      </c>
      <c r="G75" s="74" t="inlineStr">
        <is>
          <t>신애솔</t>
        </is>
      </c>
      <c r="H75" s="124" t="n"/>
      <c r="I75" s="85" t="n">
        <v>43209</v>
      </c>
      <c r="J75" s="86" t="n">
        <v>44652</v>
      </c>
      <c r="K75" s="81" t="n"/>
      <c r="L75" s="186" t="n">
        <v>32</v>
      </c>
      <c r="M75" s="187" t="n">
        <v>54</v>
      </c>
      <c r="N75" s="186" t="n">
        <v>21</v>
      </c>
      <c r="O75" s="107">
        <f>SUM(L75:N75)</f>
        <v/>
      </c>
      <c r="P75" s="74" t="n"/>
    </row>
    <row r="76">
      <c r="A76" s="73" t="n"/>
      <c r="B76" s="74" t="inlineStr">
        <is>
          <t>초격차</t>
        </is>
      </c>
      <c r="C76" s="75" t="n"/>
      <c r="D76" s="125" t="n"/>
      <c r="E76" s="125" t="n"/>
      <c r="F76" s="77" t="n"/>
      <c r="G76" s="74" t="inlineStr">
        <is>
          <t>신여정</t>
        </is>
      </c>
      <c r="H76" s="124" t="n"/>
      <c r="I76" s="85" t="n">
        <v>46063</v>
      </c>
      <c r="J76" s="86" t="n">
        <v>46143</v>
      </c>
      <c r="K76" s="81" t="n"/>
      <c r="L76" s="186" t="n">
        <v>34</v>
      </c>
      <c r="M76" s="187" t="n">
        <v>39</v>
      </c>
      <c r="N76" s="186" t="n">
        <v>39</v>
      </c>
      <c r="O76" s="107">
        <f>SUM(L76:N76)</f>
        <v/>
      </c>
      <c r="P76" s="74" t="n"/>
    </row>
    <row r="77">
      <c r="A77" s="73">
        <f>ROW()-2</f>
        <v/>
      </c>
      <c r="B77" s="74" t="inlineStr">
        <is>
          <t>계획자</t>
        </is>
      </c>
      <c r="C77" s="82" t="n"/>
      <c r="D77" s="125" t="inlineStr">
        <is>
          <t>간접</t>
        </is>
      </c>
      <c r="E77" s="125" t="inlineStr">
        <is>
          <t>교대</t>
        </is>
      </c>
      <c r="F77" s="77" t="inlineStr">
        <is>
          <t>계획자</t>
        </is>
      </c>
      <c r="G77" s="74" t="inlineStr">
        <is>
          <t>신창순</t>
        </is>
      </c>
      <c r="H77" s="124" t="inlineStr">
        <is>
          <t>010-6359-5973</t>
        </is>
      </c>
      <c r="I77" s="79" t="n">
        <v>39083</v>
      </c>
      <c r="J77" s="80" t="n">
        <v>46206</v>
      </c>
      <c r="K77" s="81" t="n"/>
      <c r="L77" s="186" t="n">
        <v>63</v>
      </c>
      <c r="M77" s="187" t="n">
        <v>3</v>
      </c>
      <c r="N77" s="186" t="n">
        <v>42</v>
      </c>
      <c r="O77" s="107">
        <f>SUM(L77:N77)</f>
        <v/>
      </c>
      <c r="P77" s="74" t="n"/>
    </row>
    <row r="78">
      <c r="A78" s="73">
        <f>ROW()-2</f>
        <v/>
      </c>
      <c r="B78" s="74" t="inlineStr">
        <is>
          <t>염모</t>
        </is>
      </c>
      <c r="C78" s="75" t="n"/>
      <c r="D78" s="125" t="inlineStr">
        <is>
          <t>직접</t>
        </is>
      </c>
      <c r="E78" s="125" t="inlineStr">
        <is>
          <t>교대</t>
        </is>
      </c>
      <c r="F78" s="77" t="inlineStr">
        <is>
          <t>OP</t>
        </is>
      </c>
      <c r="G78" s="87" t="inlineStr">
        <is>
          <t>신현경</t>
        </is>
      </c>
      <c r="H78" s="124" t="inlineStr">
        <is>
          <t>010-7176-1803</t>
        </is>
      </c>
      <c r="I78" s="79" t="n">
        <v>45261</v>
      </c>
      <c r="J78" s="80" t="n">
        <v>45536</v>
      </c>
      <c r="K78" s="81" t="n"/>
      <c r="L78" s="186" t="n">
        <v>0</v>
      </c>
      <c r="M78" s="187" t="n">
        <v>0</v>
      </c>
      <c r="N78" s="186" t="n">
        <v>0</v>
      </c>
      <c r="O78" s="107">
        <f>SUM(L78:N78)</f>
        <v/>
      </c>
      <c r="P78" s="74" t="n"/>
    </row>
    <row r="79">
      <c r="A79" s="73">
        <f>ROW()-2</f>
        <v/>
      </c>
      <c r="B79" s="74" t="inlineStr">
        <is>
          <t>튜브</t>
        </is>
      </c>
      <c r="C79" s="75" t="n"/>
      <c r="D79" s="125" t="inlineStr">
        <is>
          <t>직접</t>
        </is>
      </c>
      <c r="E79" s="125" t="inlineStr">
        <is>
          <t>교대</t>
        </is>
      </c>
      <c r="F79" s="77" t="inlineStr">
        <is>
          <t>OP</t>
        </is>
      </c>
      <c r="G79" s="74" t="inlineStr">
        <is>
          <t>양연숙</t>
        </is>
      </c>
      <c r="H79" s="124" t="inlineStr">
        <is>
          <t>010-3424-9611</t>
        </is>
      </c>
      <c r="I79" s="79" t="n">
        <v>43228</v>
      </c>
      <c r="J79" s="80" t="n">
        <v>45536</v>
      </c>
      <c r="K79" s="81" t="n"/>
      <c r="L79" s="186" t="n">
        <v>34</v>
      </c>
      <c r="M79" s="187" t="n">
        <v>42</v>
      </c>
      <c r="N79" s="186" t="n">
        <v>34</v>
      </c>
      <c r="O79" s="107">
        <f>SUM(L79:N79)</f>
        <v/>
      </c>
      <c r="P79" s="74" t="n"/>
    </row>
    <row r="80">
      <c r="A80" s="73">
        <f>ROW()-2</f>
        <v/>
      </c>
      <c r="B80" s="74" t="inlineStr">
        <is>
          <t>직선</t>
        </is>
      </c>
      <c r="C80" s="75" t="n"/>
      <c r="D80" s="125" t="inlineStr">
        <is>
          <t>직접</t>
        </is>
      </c>
      <c r="E80" s="125" t="inlineStr">
        <is>
          <t>교대</t>
        </is>
      </c>
      <c r="F80" s="77" t="inlineStr">
        <is>
          <t>작업자</t>
        </is>
      </c>
      <c r="G80" s="74" t="inlineStr">
        <is>
          <t>양진희</t>
        </is>
      </c>
      <c r="H80" s="124" t="inlineStr">
        <is>
          <t>010-9376-0104</t>
        </is>
      </c>
      <c r="I80" s="79" t="n">
        <v>45747</v>
      </c>
      <c r="J80" s="80" t="n">
        <v>45809</v>
      </c>
      <c r="K80" s="81" t="n"/>
      <c r="L80" s="186" t="n">
        <v>35</v>
      </c>
      <c r="M80" s="187" t="n">
        <v>38</v>
      </c>
      <c r="N80" s="186" t="n">
        <v>24</v>
      </c>
      <c r="O80" s="107">
        <f>SUM(L80:N80)</f>
        <v/>
      </c>
      <c r="P80" s="74" t="n"/>
    </row>
    <row r="81">
      <c r="A81" s="73">
        <f>ROW()-2</f>
        <v/>
      </c>
      <c r="B81" s="74" t="inlineStr">
        <is>
          <t>직선</t>
        </is>
      </c>
      <c r="C81" s="75" t="n"/>
      <c r="D81" s="125" t="inlineStr">
        <is>
          <t>직접</t>
        </is>
      </c>
      <c r="E81" s="125" t="inlineStr">
        <is>
          <t>교대</t>
        </is>
      </c>
      <c r="F81" s="77" t="inlineStr">
        <is>
          <t>작업자</t>
        </is>
      </c>
      <c r="G81" s="74" t="inlineStr">
        <is>
          <t>엄서윤</t>
        </is>
      </c>
      <c r="H81" s="124" t="inlineStr">
        <is>
          <t>010-8730-8554</t>
        </is>
      </c>
      <c r="I81" s="79" t="n">
        <v>42985</v>
      </c>
      <c r="J81" s="80" t="n">
        <v>45536</v>
      </c>
      <c r="K81" s="81" t="n"/>
      <c r="L81" s="186" t="n">
        <v>0</v>
      </c>
      <c r="M81" s="187" t="n">
        <v>8</v>
      </c>
      <c r="N81" s="186" t="n">
        <v>0</v>
      </c>
      <c r="O81" s="107">
        <f>SUM(L81:N81)</f>
        <v/>
      </c>
      <c r="P81" s="74" t="n"/>
    </row>
    <row r="82">
      <c r="A82" s="73">
        <f>ROW()-2</f>
        <v/>
      </c>
      <c r="B82" s="74" t="inlineStr">
        <is>
          <t>튜브</t>
        </is>
      </c>
      <c r="C82" s="75" t="n"/>
      <c r="D82" s="125" t="inlineStr">
        <is>
          <t>간접</t>
        </is>
      </c>
      <c r="E82" s="125" t="inlineStr">
        <is>
          <t>교대</t>
        </is>
      </c>
      <c r="F82" s="77" t="inlineStr">
        <is>
          <t>PM</t>
        </is>
      </c>
      <c r="G82" s="74" t="inlineStr">
        <is>
          <t>엄성원</t>
        </is>
      </c>
      <c r="H82" s="124" t="inlineStr">
        <is>
          <t>010-6481-4309</t>
        </is>
      </c>
      <c r="I82" s="79" t="n">
        <v>44550</v>
      </c>
      <c r="J82" s="80" t="n">
        <v>45536</v>
      </c>
      <c r="K82" s="81" t="n"/>
      <c r="L82" s="186" t="n">
        <v>31</v>
      </c>
      <c r="M82" s="187" t="n">
        <v>57</v>
      </c>
      <c r="N82" s="186" t="n">
        <v>28</v>
      </c>
      <c r="O82" s="107">
        <f>SUM(L82:N82)</f>
        <v/>
      </c>
      <c r="P82" s="74" t="n"/>
    </row>
    <row r="83">
      <c r="A83" s="73">
        <f>ROW()-2</f>
        <v/>
      </c>
      <c r="B83" s="74" t="inlineStr">
        <is>
          <t>직선</t>
        </is>
      </c>
      <c r="C83" s="75" t="n"/>
      <c r="D83" s="125" t="inlineStr">
        <is>
          <t>직접</t>
        </is>
      </c>
      <c r="E83" s="125" t="inlineStr">
        <is>
          <t>교대</t>
        </is>
      </c>
      <c r="F83" s="77" t="inlineStr">
        <is>
          <t>OP</t>
        </is>
      </c>
      <c r="G83" s="74" t="inlineStr">
        <is>
          <t>오미경</t>
        </is>
      </c>
      <c r="H83" s="124" t="inlineStr">
        <is>
          <t>010-8813-9827</t>
        </is>
      </c>
      <c r="I83" s="79" t="n">
        <v>42552</v>
      </c>
      <c r="J83" s="80" t="n">
        <v>45536</v>
      </c>
      <c r="K83" s="81" t="n"/>
      <c r="L83" s="186" t="n">
        <v>39</v>
      </c>
      <c r="M83" s="187" t="n">
        <v>52</v>
      </c>
      <c r="N83" s="186" t="n">
        <v>28</v>
      </c>
      <c r="O83" s="107">
        <f>SUM(L83:N83)</f>
        <v/>
      </c>
      <c r="P83" s="74" t="n"/>
    </row>
    <row r="84">
      <c r="A84" s="73">
        <f>ROW()-2</f>
        <v/>
      </c>
      <c r="B84" s="74" t="inlineStr">
        <is>
          <t>튜브</t>
        </is>
      </c>
      <c r="C84" s="75" t="n"/>
      <c r="D84" s="125" t="inlineStr">
        <is>
          <t>직접</t>
        </is>
      </c>
      <c r="E84" s="125" t="inlineStr">
        <is>
          <t>교대</t>
        </is>
      </c>
      <c r="F84" s="77" t="inlineStr">
        <is>
          <t>OP</t>
        </is>
      </c>
      <c r="G84" s="74" t="inlineStr">
        <is>
          <t>오미숙</t>
        </is>
      </c>
      <c r="H84" s="124" t="inlineStr">
        <is>
          <t>010-5401-5077</t>
        </is>
      </c>
      <c r="I84" s="79" t="n">
        <v>40693</v>
      </c>
      <c r="J84" s="80" t="n">
        <v>45536</v>
      </c>
      <c r="K84" s="81" t="n"/>
      <c r="L84" s="186" t="n">
        <v>40</v>
      </c>
      <c r="M84" s="187" t="n">
        <v>52</v>
      </c>
      <c r="N84" s="186" t="n">
        <v>20</v>
      </c>
      <c r="O84" s="107">
        <f>SUM(L84:N84)</f>
        <v/>
      </c>
      <c r="P84" s="74" t="n"/>
    </row>
    <row r="85">
      <c r="A85" s="73">
        <f>ROW()-2</f>
        <v/>
      </c>
      <c r="B85" s="74" t="inlineStr">
        <is>
          <t>멀티</t>
        </is>
      </c>
      <c r="C85" s="75" t="n"/>
      <c r="D85" s="125" t="inlineStr">
        <is>
          <t>직접</t>
        </is>
      </c>
      <c r="E85" s="125" t="inlineStr">
        <is>
          <t>교대</t>
        </is>
      </c>
      <c r="F85" s="77" t="inlineStr">
        <is>
          <t>OP</t>
        </is>
      </c>
      <c r="G85" s="74" t="inlineStr">
        <is>
          <t>오승아</t>
        </is>
      </c>
      <c r="H85" s="124" t="inlineStr">
        <is>
          <t>010-2094-5599</t>
        </is>
      </c>
      <c r="I85" s="79" t="n">
        <v>39083</v>
      </c>
      <c r="J85" s="80" t="n">
        <v>45536</v>
      </c>
      <c r="K85" s="81" t="n"/>
      <c r="L85" s="186" t="n">
        <v>33</v>
      </c>
      <c r="M85" s="187" t="n">
        <v>41</v>
      </c>
      <c r="N85" s="186" t="n">
        <v>26</v>
      </c>
      <c r="O85" s="107">
        <f>SUM(L85:N85)</f>
        <v/>
      </c>
      <c r="P85" s="74" t="n"/>
    </row>
    <row r="86">
      <c r="A86" s="73">
        <f>ROW()-2</f>
        <v/>
      </c>
      <c r="B86" s="74" t="inlineStr">
        <is>
          <t>직선</t>
        </is>
      </c>
      <c r="C86" s="75" t="n"/>
      <c r="D86" s="125" t="inlineStr">
        <is>
          <t>직접</t>
        </is>
      </c>
      <c r="E86" s="125" t="inlineStr">
        <is>
          <t>교대</t>
        </is>
      </c>
      <c r="F86" s="77" t="inlineStr">
        <is>
          <t>OP</t>
        </is>
      </c>
      <c r="G86" s="74" t="inlineStr">
        <is>
          <t>오진경</t>
        </is>
      </c>
      <c r="H86" s="124" t="inlineStr">
        <is>
          <t>010-7400-9827</t>
        </is>
      </c>
      <c r="I86" s="79" t="n">
        <v>42552</v>
      </c>
      <c r="J86" s="80" t="n">
        <v>45536</v>
      </c>
      <c r="K86" s="81" t="n"/>
      <c r="L86" s="186" t="n">
        <v>39</v>
      </c>
      <c r="M86" s="187" t="n">
        <v>52</v>
      </c>
      <c r="N86" s="186" t="n">
        <v>20</v>
      </c>
      <c r="O86" s="107">
        <f>SUM(L86:N86)</f>
        <v/>
      </c>
      <c r="P86" s="74" t="n"/>
    </row>
    <row r="87">
      <c r="A87" s="73">
        <f>ROW()-2</f>
        <v/>
      </c>
      <c r="B87" s="74" t="inlineStr">
        <is>
          <t>멀티</t>
        </is>
      </c>
      <c r="C87" s="75" t="n"/>
      <c r="D87" s="125" t="inlineStr">
        <is>
          <t>직접</t>
        </is>
      </c>
      <c r="E87" s="125" t="inlineStr">
        <is>
          <t>교대</t>
        </is>
      </c>
      <c r="F87" s="77" t="inlineStr">
        <is>
          <t>OP</t>
        </is>
      </c>
      <c r="G87" s="74" t="inlineStr">
        <is>
          <t>왕재숙</t>
        </is>
      </c>
      <c r="H87" s="124" t="inlineStr">
        <is>
          <t>010-9099-5590</t>
        </is>
      </c>
      <c r="I87" s="79" t="n">
        <v>41344</v>
      </c>
      <c r="J87" s="80" t="n">
        <v>45536</v>
      </c>
      <c r="K87" s="81" t="n"/>
      <c r="L87" s="186" t="n">
        <v>42</v>
      </c>
      <c r="M87" s="187" t="n">
        <v>30</v>
      </c>
      <c r="N87" s="186" t="n">
        <v>24</v>
      </c>
      <c r="O87" s="107">
        <f>SUM(L87:N87)</f>
        <v/>
      </c>
      <c r="P87" s="74" t="n"/>
    </row>
    <row r="88">
      <c r="A88" s="73">
        <f>ROW()-2</f>
        <v/>
      </c>
      <c r="B88" s="74" t="inlineStr">
        <is>
          <t>O/C</t>
        </is>
      </c>
      <c r="C88" s="75" t="n"/>
      <c r="D88" s="125" t="inlineStr">
        <is>
          <t>직접</t>
        </is>
      </c>
      <c r="E88" s="125" t="inlineStr">
        <is>
          <t>교대</t>
        </is>
      </c>
      <c r="F88" s="77" t="inlineStr">
        <is>
          <t>OP</t>
        </is>
      </c>
      <c r="G88" s="74" t="inlineStr">
        <is>
          <t>우경숙</t>
        </is>
      </c>
      <c r="H88" s="124" t="inlineStr">
        <is>
          <t>010-4892-2547</t>
        </is>
      </c>
      <c r="I88" s="79" t="n">
        <v>39083</v>
      </c>
      <c r="J88" s="80" t="n">
        <v>45536</v>
      </c>
      <c r="K88" s="81" t="n"/>
      <c r="L88" s="186" t="n">
        <v>36</v>
      </c>
      <c r="M88" s="187" t="n">
        <v>35</v>
      </c>
      <c r="N88" s="186" t="n">
        <v>9</v>
      </c>
      <c r="O88" s="107">
        <f>SUM(L88:N88)</f>
        <v/>
      </c>
      <c r="P88" s="74" t="n"/>
    </row>
    <row r="89">
      <c r="A89" s="73">
        <f>ROW()-2</f>
        <v/>
      </c>
      <c r="B89" s="74" t="inlineStr">
        <is>
          <t>튜브</t>
        </is>
      </c>
      <c r="C89" s="75" t="n"/>
      <c r="D89" s="125" t="inlineStr">
        <is>
          <t>직접</t>
        </is>
      </c>
      <c r="E89" s="125" t="inlineStr">
        <is>
          <t>교대</t>
        </is>
      </c>
      <c r="F89" s="77" t="inlineStr">
        <is>
          <t>OP</t>
        </is>
      </c>
      <c r="G89" s="74" t="inlineStr">
        <is>
          <t>유경선</t>
        </is>
      </c>
      <c r="H89" s="124" t="inlineStr">
        <is>
          <t>010-3069-1253</t>
        </is>
      </c>
      <c r="I89" s="79" t="n">
        <v>40848</v>
      </c>
      <c r="J89" s="80" t="n">
        <v>45536</v>
      </c>
      <c r="K89" s="81" t="n"/>
      <c r="L89" s="186" t="n">
        <v>21</v>
      </c>
      <c r="M89" s="187" t="n">
        <v>34</v>
      </c>
      <c r="N89" s="186" t="n">
        <v>18</v>
      </c>
      <c r="O89" s="107">
        <f>SUM(L89:N89)</f>
        <v/>
      </c>
      <c r="P89" s="74" t="n"/>
    </row>
    <row r="90">
      <c r="A90" s="73">
        <f>ROW()-2</f>
        <v/>
      </c>
      <c r="B90" s="74" t="inlineStr">
        <is>
          <t>행정</t>
        </is>
      </c>
      <c r="C90" s="75" t="n"/>
      <c r="D90" s="125" t="inlineStr">
        <is>
          <t>간접</t>
        </is>
      </c>
      <c r="E90" s="125" t="inlineStr">
        <is>
          <t>교대</t>
        </is>
      </c>
      <c r="F90" s="77" t="inlineStr">
        <is>
          <t>유길주</t>
        </is>
      </c>
      <c r="G90" s="74" t="inlineStr">
        <is>
          <t>유길주</t>
        </is>
      </c>
      <c r="H90" s="124" t="inlineStr">
        <is>
          <t>010-9914-5576</t>
        </is>
      </c>
      <c r="I90" s="79" t="n">
        <v>45139</v>
      </c>
      <c r="J90" s="80" t="n">
        <v>45139</v>
      </c>
      <c r="K90" s="81" t="n"/>
      <c r="L90" s="186" t="n">
        <v>27</v>
      </c>
      <c r="M90" s="187" t="n">
        <v>50</v>
      </c>
      <c r="N90" s="186" t="n">
        <v>24</v>
      </c>
      <c r="O90" s="107">
        <f>SUM(L90:N90)</f>
        <v/>
      </c>
      <c r="P90" s="74" t="n"/>
    </row>
    <row r="91">
      <c r="A91" s="73">
        <f>ROW()-2</f>
        <v/>
      </c>
      <c r="B91" s="74" t="inlineStr">
        <is>
          <t>PM</t>
        </is>
      </c>
      <c r="C91" s="75" t="n"/>
      <c r="D91" s="125" t="inlineStr">
        <is>
          <t>간접</t>
        </is>
      </c>
      <c r="E91" s="125" t="inlineStr">
        <is>
          <t>교대</t>
        </is>
      </c>
      <c r="F91" s="77" t="inlineStr">
        <is>
          <t>PM</t>
        </is>
      </c>
      <c r="G91" s="74" t="inlineStr">
        <is>
          <t>유재민</t>
        </is>
      </c>
      <c r="H91" s="124" t="inlineStr">
        <is>
          <t>010-8466-4680</t>
        </is>
      </c>
      <c r="I91" s="79" t="n">
        <v>45182</v>
      </c>
      <c r="J91" s="80" t="n">
        <v>45536</v>
      </c>
      <c r="K91" s="81" t="n"/>
      <c r="L91" s="186" t="n">
        <v>35</v>
      </c>
      <c r="M91" s="187" t="n">
        <v>40</v>
      </c>
      <c r="N91" s="186" t="n">
        <v>29</v>
      </c>
      <c r="O91" s="107">
        <f>SUM(L91:N91)</f>
        <v/>
      </c>
      <c r="P91" s="74" t="n"/>
    </row>
    <row r="92">
      <c r="A92" s="73" t="n"/>
      <c r="B92" s="74" t="inlineStr">
        <is>
          <t>직선</t>
        </is>
      </c>
      <c r="C92" s="75" t="n"/>
      <c r="D92" s="125" t="n"/>
      <c r="E92" s="125" t="n"/>
      <c r="F92" s="77" t="n"/>
      <c r="G92" s="74" t="inlineStr">
        <is>
          <t>육성민</t>
        </is>
      </c>
      <c r="H92" s="124" t="n"/>
      <c r="I92" s="79" t="n">
        <v>46168</v>
      </c>
      <c r="J92" s="80" t="n">
        <v>46168</v>
      </c>
      <c r="K92" s="81" t="n"/>
      <c r="L92" s="186" t="n">
        <v>36</v>
      </c>
      <c r="M92" s="187" t="n">
        <v>33</v>
      </c>
      <c r="N92" s="186" t="n">
        <v>30</v>
      </c>
      <c r="O92" s="107">
        <f>SUM(L92:N92)</f>
        <v/>
      </c>
      <c r="P92" s="74" t="n"/>
    </row>
    <row r="93">
      <c r="A93" s="73" t="n"/>
      <c r="B93" s="74" t="inlineStr">
        <is>
          <t>초격차</t>
        </is>
      </c>
      <c r="C93" s="75" t="n"/>
      <c r="D93" s="125" t="n"/>
      <c r="E93" s="125" t="n"/>
      <c r="F93" s="77" t="n"/>
      <c r="G93" s="74" t="inlineStr">
        <is>
          <t>윤미경</t>
        </is>
      </c>
      <c r="H93" s="124" t="n"/>
      <c r="I93" s="79" t="n">
        <v>46064</v>
      </c>
      <c r="J93" s="80" t="n">
        <v>46143</v>
      </c>
      <c r="K93" s="81" t="n"/>
      <c r="L93" s="186" t="n">
        <v>10</v>
      </c>
      <c r="M93" s="187" t="n">
        <v>24</v>
      </c>
      <c r="N93" s="186" t="n">
        <v>24</v>
      </c>
      <c r="O93" s="107">
        <f>SUM(L93:N93)</f>
        <v/>
      </c>
      <c r="P93" s="74" t="n"/>
    </row>
    <row r="94">
      <c r="A94" s="73">
        <f>ROW()-2</f>
        <v/>
      </c>
      <c r="B94" s="74" t="inlineStr">
        <is>
          <t>O/C</t>
        </is>
      </c>
      <c r="C94" s="75" t="n"/>
      <c r="D94" s="125" t="inlineStr">
        <is>
          <t>직접</t>
        </is>
      </c>
      <c r="E94" s="125" t="inlineStr">
        <is>
          <t>교대</t>
        </is>
      </c>
      <c r="F94" s="77" t="inlineStr">
        <is>
          <t>OP</t>
        </is>
      </c>
      <c r="G94" s="74" t="inlineStr">
        <is>
          <t>윤희숙</t>
        </is>
      </c>
      <c r="H94" s="124" t="inlineStr">
        <is>
          <t>010-4028-7925</t>
        </is>
      </c>
      <c r="I94" s="79" t="n">
        <v>39083</v>
      </c>
      <c r="J94" s="80" t="n">
        <v>45536</v>
      </c>
      <c r="K94" s="81" t="n"/>
      <c r="L94" s="186" t="n">
        <v>38</v>
      </c>
      <c r="M94" s="187" t="n">
        <v>38</v>
      </c>
      <c r="N94" s="186" t="n">
        <v>15</v>
      </c>
      <c r="O94" s="107">
        <f>SUM(L94:N94)</f>
        <v/>
      </c>
      <c r="P94" s="74" t="n"/>
    </row>
    <row r="95">
      <c r="A95" s="73">
        <f>ROW()-2</f>
        <v/>
      </c>
      <c r="B95" s="74" t="inlineStr">
        <is>
          <t>염모</t>
        </is>
      </c>
      <c r="C95" s="82" t="n"/>
      <c r="D95" s="125" t="inlineStr">
        <is>
          <t>직접</t>
        </is>
      </c>
      <c r="E95" s="125" t="inlineStr">
        <is>
          <t>교대</t>
        </is>
      </c>
      <c r="F95" s="77" t="inlineStr">
        <is>
          <t>OP</t>
        </is>
      </c>
      <c r="G95" s="74" t="inlineStr">
        <is>
          <t>이가을</t>
        </is>
      </c>
      <c r="H95" s="124" t="inlineStr">
        <is>
          <t>010-4730-5098</t>
        </is>
      </c>
      <c r="I95" s="79" t="n">
        <v>45705</v>
      </c>
      <c r="J95" s="80" t="n">
        <v>45778</v>
      </c>
      <c r="K95" s="81" t="n"/>
      <c r="L95" s="186" t="n">
        <v>15</v>
      </c>
      <c r="M95" s="187" t="n">
        <v>0</v>
      </c>
      <c r="N95" s="186" t="n">
        <v>3</v>
      </c>
      <c r="O95" s="107">
        <f>SUM(L95:N95)</f>
        <v/>
      </c>
      <c r="P95" s="74" t="n"/>
    </row>
    <row r="96">
      <c r="A96" s="73">
        <f>ROW()-2</f>
        <v/>
      </c>
      <c r="B96" s="74" t="inlineStr">
        <is>
          <t>직선</t>
        </is>
      </c>
      <c r="C96" s="75" t="n"/>
      <c r="D96" s="125" t="inlineStr">
        <is>
          <t>직접</t>
        </is>
      </c>
      <c r="E96" s="125" t="inlineStr">
        <is>
          <t>교대</t>
        </is>
      </c>
      <c r="F96" s="77" t="inlineStr">
        <is>
          <t>작업자</t>
        </is>
      </c>
      <c r="G96" s="74" t="inlineStr">
        <is>
          <t>이경희</t>
        </is>
      </c>
      <c r="H96" s="124" t="inlineStr">
        <is>
          <t>010-9094-6314</t>
        </is>
      </c>
      <c r="I96" s="79" t="n">
        <v>39238</v>
      </c>
      <c r="J96" s="80" t="n">
        <v>45536</v>
      </c>
      <c r="K96" s="81" t="n"/>
      <c r="L96" s="186" t="n">
        <v>36</v>
      </c>
      <c r="M96" s="187" t="n">
        <v>60</v>
      </c>
      <c r="N96" s="186" t="n">
        <v>50</v>
      </c>
      <c r="O96" s="107">
        <f>SUM(L96:N96)</f>
        <v/>
      </c>
      <c r="P96" s="74" t="n"/>
    </row>
    <row r="97">
      <c r="A97" s="73">
        <f>ROW()-2</f>
        <v/>
      </c>
      <c r="B97" s="74" t="inlineStr">
        <is>
          <t>염모</t>
        </is>
      </c>
      <c r="C97" s="75" t="n"/>
      <c r="D97" s="125" t="inlineStr">
        <is>
          <t>직접</t>
        </is>
      </c>
      <c r="E97" s="125" t="inlineStr">
        <is>
          <t>교대</t>
        </is>
      </c>
      <c r="F97" s="77" t="inlineStr">
        <is>
          <t>OP</t>
        </is>
      </c>
      <c r="G97" s="74" t="inlineStr">
        <is>
          <t>이금주</t>
        </is>
      </c>
      <c r="H97" s="124" t="inlineStr">
        <is>
          <t>010-4597-9554</t>
        </is>
      </c>
      <c r="I97" s="79" t="n">
        <v>43617</v>
      </c>
      <c r="J97" s="80" t="n">
        <v>45536</v>
      </c>
      <c r="K97" s="81" t="n"/>
      <c r="L97" s="186" t="n">
        <v>24</v>
      </c>
      <c r="M97" s="187" t="n">
        <v>6</v>
      </c>
      <c r="N97" s="186" t="n">
        <v>6</v>
      </c>
      <c r="O97" s="107">
        <f>SUM(L97:N97)</f>
        <v/>
      </c>
      <c r="P97" s="74" t="n"/>
    </row>
    <row r="98">
      <c r="A98" s="73">
        <f>ROW()-2</f>
        <v/>
      </c>
      <c r="B98" s="74" t="inlineStr">
        <is>
          <t>염모</t>
        </is>
      </c>
      <c r="C98" s="75" t="n"/>
      <c r="D98" s="125" t="inlineStr">
        <is>
          <t>직접</t>
        </is>
      </c>
      <c r="E98" s="125" t="inlineStr">
        <is>
          <t>교대</t>
        </is>
      </c>
      <c r="F98" s="77" t="inlineStr">
        <is>
          <t>OP</t>
        </is>
      </c>
      <c r="G98" s="74" t="inlineStr">
        <is>
          <t>이명진</t>
        </is>
      </c>
      <c r="H98" s="124" t="inlineStr">
        <is>
          <t>010-6656-8561</t>
        </is>
      </c>
      <c r="I98" s="79" t="n">
        <v>42339</v>
      </c>
      <c r="J98" s="80" t="n">
        <v>45536</v>
      </c>
      <c r="K98" s="81" t="n"/>
      <c r="L98" s="186" t="n">
        <v>12</v>
      </c>
      <c r="M98" s="187" t="n">
        <v>0</v>
      </c>
      <c r="N98" s="186" t="n">
        <v>9</v>
      </c>
      <c r="O98" s="107">
        <f>SUM(L98:N98)</f>
        <v/>
      </c>
      <c r="P98" s="74" t="n"/>
    </row>
    <row r="99">
      <c r="A99" s="73">
        <f>ROW()-2</f>
        <v/>
      </c>
      <c r="B99" s="74" t="inlineStr">
        <is>
          <t>PM장</t>
        </is>
      </c>
      <c r="C99" s="75" t="n"/>
      <c r="D99" s="125" t="inlineStr">
        <is>
          <t>간접</t>
        </is>
      </c>
      <c r="E99" s="125" t="inlineStr">
        <is>
          <t>교대</t>
        </is>
      </c>
      <c r="F99" s="77" t="inlineStr">
        <is>
          <t>PM</t>
        </is>
      </c>
      <c r="G99" s="74" t="inlineStr">
        <is>
          <t>이상현</t>
        </is>
      </c>
      <c r="H99" s="124" t="inlineStr">
        <is>
          <t>010-9445-9251</t>
        </is>
      </c>
      <c r="I99" s="79" t="n">
        <v>41524</v>
      </c>
      <c r="J99" s="80" t="n">
        <v>45536</v>
      </c>
      <c r="K99" s="81" t="n"/>
      <c r="L99" s="186" t="n">
        <v>15</v>
      </c>
      <c r="M99" s="187" t="n">
        <v>28</v>
      </c>
      <c r="N99" s="186" t="n">
        <v>13</v>
      </c>
      <c r="O99" s="107">
        <f>SUM(L99:N99)</f>
        <v/>
      </c>
      <c r="P99" s="74" t="n"/>
    </row>
    <row r="100">
      <c r="A100" s="73">
        <f>ROW()-2</f>
        <v/>
      </c>
      <c r="B100" s="74" t="inlineStr">
        <is>
          <t>염모</t>
        </is>
      </c>
      <c r="C100" s="75" t="n"/>
      <c r="D100" s="125" t="inlineStr">
        <is>
          <t>직접</t>
        </is>
      </c>
      <c r="E100" s="125" t="inlineStr">
        <is>
          <t>교대</t>
        </is>
      </c>
      <c r="F100" s="77" t="inlineStr">
        <is>
          <t>OP</t>
        </is>
      </c>
      <c r="G100" s="74" t="inlineStr">
        <is>
          <t>이서연</t>
        </is>
      </c>
      <c r="H100" s="124" t="inlineStr">
        <is>
          <t>010-8073-7887</t>
        </is>
      </c>
      <c r="I100" s="79" t="n">
        <v>42254</v>
      </c>
      <c r="J100" s="80" t="n">
        <v>45536</v>
      </c>
      <c r="K100" s="81" t="n"/>
      <c r="L100" s="186" t="n">
        <v>32</v>
      </c>
      <c r="M100" s="187" t="n">
        <v>28</v>
      </c>
      <c r="N100" s="186" t="n">
        <v>12</v>
      </c>
      <c r="O100" s="107">
        <f>SUM(L100:N100)</f>
        <v/>
      </c>
      <c r="P100" s="74" t="n"/>
    </row>
    <row r="101">
      <c r="A101" s="73" t="n"/>
      <c r="B101" s="74" t="inlineStr">
        <is>
          <t>직선</t>
        </is>
      </c>
      <c r="C101" s="75" t="n"/>
      <c r="D101" s="125" t="n"/>
      <c r="E101" s="125" t="n"/>
      <c r="F101" s="77" t="n"/>
      <c r="G101" s="74" t="inlineStr">
        <is>
          <t>이서영</t>
        </is>
      </c>
      <c r="H101" s="124" t="n"/>
      <c r="I101" s="79" t="n">
        <v>46079</v>
      </c>
      <c r="J101" s="80" t="n">
        <v>46143</v>
      </c>
      <c r="K101" s="81" t="n"/>
      <c r="L101" s="186" t="n">
        <v>9</v>
      </c>
      <c r="M101" s="187" t="n">
        <v>23</v>
      </c>
      <c r="N101" s="186" t="n">
        <v>22</v>
      </c>
      <c r="O101" s="107">
        <f>SUM(L101:N101)</f>
        <v/>
      </c>
      <c r="P101" s="74" t="n"/>
    </row>
    <row r="102">
      <c r="A102" s="73">
        <f>ROW()-2</f>
        <v/>
      </c>
      <c r="B102" s="74" t="inlineStr">
        <is>
          <t>직선</t>
        </is>
      </c>
      <c r="C102" s="75" t="n"/>
      <c r="D102" s="125" t="inlineStr">
        <is>
          <t>직접</t>
        </is>
      </c>
      <c r="E102" s="125" t="inlineStr">
        <is>
          <t>교대</t>
        </is>
      </c>
      <c r="F102" s="77" t="inlineStr">
        <is>
          <t>OP</t>
        </is>
      </c>
      <c r="G102" s="74" t="inlineStr">
        <is>
          <t>이순남</t>
        </is>
      </c>
      <c r="H102" s="124" t="inlineStr">
        <is>
          <t>010-7508-6350</t>
        </is>
      </c>
      <c r="I102" s="79" t="n">
        <v>39083</v>
      </c>
      <c r="J102" s="80" t="n">
        <v>45536</v>
      </c>
      <c r="K102" s="81" t="n"/>
      <c r="L102" s="186" t="n">
        <v>50</v>
      </c>
      <c r="M102" s="187" t="n">
        <v>63</v>
      </c>
      <c r="N102" s="186" t="n">
        <v>29</v>
      </c>
      <c r="O102" s="107">
        <f>SUM(L102:N102)</f>
        <v/>
      </c>
      <c r="P102" s="74" t="n"/>
    </row>
    <row r="103">
      <c r="A103" s="73">
        <f>ROW()-2</f>
        <v/>
      </c>
      <c r="B103" s="74" t="inlineStr">
        <is>
          <t>실적/순회</t>
        </is>
      </c>
      <c r="C103" s="75" t="n"/>
      <c r="D103" s="125" t="inlineStr">
        <is>
          <t>간접</t>
        </is>
      </c>
      <c r="E103" s="125" t="inlineStr">
        <is>
          <t>교대</t>
        </is>
      </c>
      <c r="F103" s="77" t="inlineStr">
        <is>
          <t>실직/순회</t>
        </is>
      </c>
      <c r="G103" s="74" t="inlineStr">
        <is>
          <t>이연옥</t>
        </is>
      </c>
      <c r="H103" s="124" t="inlineStr">
        <is>
          <t>010-6483-3269</t>
        </is>
      </c>
      <c r="I103" s="79" t="n">
        <v>40210</v>
      </c>
      <c r="J103" s="80" t="n">
        <v>45536</v>
      </c>
      <c r="K103" s="81" t="n"/>
      <c r="L103" s="186" t="n">
        <v>24</v>
      </c>
      <c r="M103" s="187" t="n">
        <v>35.5</v>
      </c>
      <c r="N103" s="186" t="n">
        <v>23</v>
      </c>
      <c r="O103" s="107">
        <f>SUM(L103:N103)</f>
        <v/>
      </c>
      <c r="P103" s="74" t="n"/>
    </row>
    <row r="104">
      <c r="A104" s="73">
        <f>ROW()-2</f>
        <v/>
      </c>
      <c r="B104" s="74" t="inlineStr">
        <is>
          <t>초격차</t>
        </is>
      </c>
      <c r="C104" s="75" t="n"/>
      <c r="D104" s="125" t="inlineStr">
        <is>
          <t>직접</t>
        </is>
      </c>
      <c r="E104" s="125" t="inlineStr">
        <is>
          <t>교대</t>
        </is>
      </c>
      <c r="F104" s="77" t="inlineStr">
        <is>
          <t>OP</t>
        </is>
      </c>
      <c r="G104" s="74" t="inlineStr">
        <is>
          <t>이윤정</t>
        </is>
      </c>
      <c r="H104" s="124" t="inlineStr">
        <is>
          <t>010-9227-8492</t>
        </is>
      </c>
      <c r="I104" s="79" t="n">
        <v>42706</v>
      </c>
      <c r="J104" s="80" t="n">
        <v>45536</v>
      </c>
      <c r="K104" s="81" t="n"/>
      <c r="L104" s="186" t="n">
        <v>10</v>
      </c>
      <c r="M104" s="187" t="n">
        <v>24</v>
      </c>
      <c r="N104" s="186" t="n">
        <v>24</v>
      </c>
      <c r="O104" s="107">
        <f>SUM(L104:N104)</f>
        <v/>
      </c>
      <c r="P104" s="74" t="n"/>
    </row>
    <row r="105">
      <c r="A105" s="73">
        <f>ROW()-2</f>
        <v/>
      </c>
      <c r="B105" s="74" t="inlineStr">
        <is>
          <t>직선</t>
        </is>
      </c>
      <c r="C105" s="75" t="n"/>
      <c r="D105" s="125" t="inlineStr">
        <is>
          <t>직접</t>
        </is>
      </c>
      <c r="E105" s="125" t="inlineStr">
        <is>
          <t>교대</t>
        </is>
      </c>
      <c r="F105" s="77" t="inlineStr">
        <is>
          <t>OP</t>
        </is>
      </c>
      <c r="G105" s="74" t="inlineStr">
        <is>
          <t>이은수</t>
        </is>
      </c>
      <c r="H105" s="124" t="inlineStr">
        <is>
          <t>010-4408-9930</t>
        </is>
      </c>
      <c r="I105" s="79" t="n">
        <v>39083</v>
      </c>
      <c r="J105" s="80" t="n">
        <v>45536</v>
      </c>
      <c r="K105" s="81" t="n"/>
      <c r="L105" s="186" t="n">
        <v>39</v>
      </c>
      <c r="M105" s="187" t="n">
        <v>49</v>
      </c>
      <c r="N105" s="186" t="n">
        <v>44</v>
      </c>
      <c r="O105" s="107">
        <f>SUM(L105:N105)</f>
        <v/>
      </c>
      <c r="P105" s="74" t="n"/>
    </row>
    <row r="106">
      <c r="A106" s="73">
        <f>ROW()-2</f>
        <v/>
      </c>
      <c r="B106" s="74" t="inlineStr">
        <is>
          <t>초격차</t>
        </is>
      </c>
      <c r="C106" s="75" t="n"/>
      <c r="D106" s="125" t="inlineStr">
        <is>
          <t>직접</t>
        </is>
      </c>
      <c r="E106" s="125" t="inlineStr">
        <is>
          <t>교대</t>
        </is>
      </c>
      <c r="F106" s="77" t="inlineStr">
        <is>
          <t>OP</t>
        </is>
      </c>
      <c r="G106" s="74" t="inlineStr">
        <is>
          <t>이은주</t>
        </is>
      </c>
      <c r="H106" s="124" t="inlineStr">
        <is>
          <t>010-6411-8837</t>
        </is>
      </c>
      <c r="I106" s="79" t="n">
        <v>39083</v>
      </c>
      <c r="J106" s="80" t="n">
        <v>45536</v>
      </c>
      <c r="K106" s="81" t="n"/>
      <c r="L106" s="186" t="n">
        <v>18</v>
      </c>
      <c r="M106" s="187" t="n">
        <v>16</v>
      </c>
      <c r="N106" s="186" t="n">
        <v>16</v>
      </c>
      <c r="O106" s="107">
        <f>SUM(L106:N106)</f>
        <v/>
      </c>
      <c r="P106" s="74" t="n"/>
    </row>
    <row r="107">
      <c r="A107" s="73">
        <f>ROW()-2</f>
        <v/>
      </c>
      <c r="B107" s="74" t="inlineStr">
        <is>
          <t>직선</t>
        </is>
      </c>
      <c r="C107" s="75" t="n"/>
      <c r="D107" s="125" t="inlineStr">
        <is>
          <t>직접</t>
        </is>
      </c>
      <c r="E107" s="125" t="inlineStr">
        <is>
          <t>교대</t>
        </is>
      </c>
      <c r="F107" s="77" t="inlineStr">
        <is>
          <t>작업자</t>
        </is>
      </c>
      <c r="G107" s="74" t="inlineStr">
        <is>
          <t>이은하</t>
        </is>
      </c>
      <c r="H107" s="124" t="inlineStr">
        <is>
          <t>010-8578-7061</t>
        </is>
      </c>
      <c r="I107" s="79" t="n">
        <v>41421</v>
      </c>
      <c r="J107" s="80" t="n">
        <v>45536</v>
      </c>
      <c r="K107" s="81" t="n"/>
      <c r="L107" s="186" t="n">
        <v>47</v>
      </c>
      <c r="M107" s="187" t="n">
        <v>64</v>
      </c>
      <c r="N107" s="186" t="n">
        <v>58</v>
      </c>
      <c r="O107" s="107">
        <f>SUM(L107:N107)</f>
        <v/>
      </c>
      <c r="P107" s="74">
        <f>O107-$Q$3</f>
        <v/>
      </c>
    </row>
    <row r="108">
      <c r="A108" s="73">
        <f>ROW()-2</f>
        <v/>
      </c>
      <c r="B108" s="74" t="inlineStr">
        <is>
          <t>O/C</t>
        </is>
      </c>
      <c r="C108" s="75" t="n"/>
      <c r="D108" s="125" t="inlineStr">
        <is>
          <t>직접</t>
        </is>
      </c>
      <c r="E108" s="125" t="inlineStr">
        <is>
          <t>교대</t>
        </is>
      </c>
      <c r="F108" s="77" t="inlineStr">
        <is>
          <t>OP</t>
        </is>
      </c>
      <c r="G108" s="74" t="inlineStr">
        <is>
          <t>이은희</t>
        </is>
      </c>
      <c r="H108" s="124" t="inlineStr">
        <is>
          <t>010-8823-3432</t>
        </is>
      </c>
      <c r="I108" s="79" t="n">
        <v>44509</v>
      </c>
      <c r="J108" s="80" t="n">
        <v>45536</v>
      </c>
      <c r="K108" s="81" t="n"/>
      <c r="L108" s="186" t="n">
        <v>47</v>
      </c>
      <c r="M108" s="187" t="n">
        <v>32</v>
      </c>
      <c r="N108" s="186" t="n">
        <v>15</v>
      </c>
      <c r="O108" s="107">
        <f>SUM(L108:N108)</f>
        <v/>
      </c>
      <c r="P108" s="74" t="n"/>
    </row>
    <row r="109">
      <c r="A109" s="73">
        <f>ROW()-2</f>
        <v/>
      </c>
      <c r="B109" s="74" t="inlineStr">
        <is>
          <t>염모</t>
        </is>
      </c>
      <c r="C109" s="75" t="n"/>
      <c r="D109" s="125" t="inlineStr">
        <is>
          <t>직접</t>
        </is>
      </c>
      <c r="E109" s="125" t="inlineStr">
        <is>
          <t>교대</t>
        </is>
      </c>
      <c r="F109" s="77" t="inlineStr">
        <is>
          <t>OP</t>
        </is>
      </c>
      <c r="G109" s="74" t="inlineStr">
        <is>
          <t>이인영</t>
        </is>
      </c>
      <c r="H109" s="124" t="inlineStr">
        <is>
          <t>010-6541-0618</t>
        </is>
      </c>
      <c r="I109" s="79" t="n">
        <v>42887</v>
      </c>
      <c r="J109" s="80" t="n">
        <v>45536</v>
      </c>
      <c r="K109" s="81" t="n"/>
      <c r="L109" s="186" t="n">
        <v>24</v>
      </c>
      <c r="M109" s="187" t="n">
        <v>6</v>
      </c>
      <c r="N109" s="186" t="n">
        <v>0</v>
      </c>
      <c r="O109" s="107">
        <f>SUM(L109:N109)</f>
        <v/>
      </c>
      <c r="P109" s="74" t="n"/>
    </row>
    <row r="110">
      <c r="A110" s="73">
        <f>ROW()-2</f>
        <v/>
      </c>
      <c r="B110" s="74" t="inlineStr">
        <is>
          <t>염모</t>
        </is>
      </c>
      <c r="C110" s="75" t="n"/>
      <c r="D110" s="125" t="inlineStr">
        <is>
          <t>직접</t>
        </is>
      </c>
      <c r="E110" s="125" t="inlineStr">
        <is>
          <t>교대</t>
        </is>
      </c>
      <c r="F110" s="77" t="inlineStr">
        <is>
          <t>OP</t>
        </is>
      </c>
      <c r="G110" s="74" t="inlineStr">
        <is>
          <t>이재연</t>
        </is>
      </c>
      <c r="H110" s="124" t="inlineStr">
        <is>
          <t>010-2947-6039</t>
        </is>
      </c>
      <c r="I110" s="79" t="n">
        <v>39083</v>
      </c>
      <c r="J110" s="80" t="n">
        <v>45536</v>
      </c>
      <c r="K110" s="81" t="n"/>
      <c r="L110" s="186" t="n">
        <v>3</v>
      </c>
      <c r="M110" s="187" t="n">
        <v>0</v>
      </c>
      <c r="N110" s="186" t="n">
        <v>0</v>
      </c>
      <c r="O110" s="107">
        <f>SUM(L110:N110)</f>
        <v/>
      </c>
      <c r="P110" s="74" t="n"/>
    </row>
    <row r="111">
      <c r="A111" s="73">
        <f>ROW()-2</f>
        <v/>
      </c>
      <c r="B111" s="74" t="inlineStr">
        <is>
          <t>염모</t>
        </is>
      </c>
      <c r="C111" s="75" t="n"/>
      <c r="D111" s="125" t="inlineStr">
        <is>
          <t>간접</t>
        </is>
      </c>
      <c r="E111" s="125" t="inlineStr">
        <is>
          <t>교대</t>
        </is>
      </c>
      <c r="F111" s="77" t="inlineStr">
        <is>
          <t>주임</t>
        </is>
      </c>
      <c r="G111" s="74" t="inlineStr">
        <is>
          <t>이정예</t>
        </is>
      </c>
      <c r="H111" s="124" t="inlineStr">
        <is>
          <t>010-3047-2044</t>
        </is>
      </c>
      <c r="I111" s="79" t="n">
        <v>42807</v>
      </c>
      <c r="J111" s="80" t="n">
        <v>45536</v>
      </c>
      <c r="K111" s="81" t="n"/>
      <c r="L111" s="186" t="n">
        <v>36</v>
      </c>
      <c r="M111" s="187" t="n">
        <v>18</v>
      </c>
      <c r="N111" s="186" t="n">
        <v>15</v>
      </c>
      <c r="O111" s="107">
        <f>SUM(L111:N111)</f>
        <v/>
      </c>
      <c r="P111" s="74" t="n"/>
    </row>
    <row r="112">
      <c r="A112" s="73">
        <f>ROW()-2</f>
        <v/>
      </c>
      <c r="B112" s="74" t="inlineStr">
        <is>
          <t>직선</t>
        </is>
      </c>
      <c r="C112" s="75" t="n"/>
      <c r="D112" s="125" t="inlineStr">
        <is>
          <t>직접</t>
        </is>
      </c>
      <c r="E112" s="125" t="inlineStr">
        <is>
          <t>교대</t>
        </is>
      </c>
      <c r="F112" s="77" t="inlineStr">
        <is>
          <t>OP</t>
        </is>
      </c>
      <c r="G112" s="74" t="inlineStr">
        <is>
          <t>이지연</t>
        </is>
      </c>
      <c r="H112" s="124" t="inlineStr">
        <is>
          <t>010-3858-6213</t>
        </is>
      </c>
      <c r="I112" s="79" t="n">
        <v>41092</v>
      </c>
      <c r="J112" s="80" t="n">
        <v>45536</v>
      </c>
      <c r="K112" s="81" t="n"/>
      <c r="L112" s="186" t="n">
        <v>36</v>
      </c>
      <c r="M112" s="187" t="n">
        <v>56</v>
      </c>
      <c r="N112" s="186" t="n">
        <v>60</v>
      </c>
      <c r="O112" s="107">
        <f>SUM(L112:N112)</f>
        <v/>
      </c>
      <c r="P112" s="74" t="n"/>
    </row>
    <row r="113">
      <c r="A113" s="73">
        <f>ROW()-2</f>
        <v/>
      </c>
      <c r="B113" s="74" t="inlineStr">
        <is>
          <t>멀티</t>
        </is>
      </c>
      <c r="C113" s="75" t="n"/>
      <c r="D113" s="125" t="inlineStr">
        <is>
          <t>직접</t>
        </is>
      </c>
      <c r="E113" s="125" t="inlineStr">
        <is>
          <t>교대</t>
        </is>
      </c>
      <c r="F113" s="77" t="inlineStr">
        <is>
          <t>OP</t>
        </is>
      </c>
      <c r="G113" s="74" t="inlineStr">
        <is>
          <t>이차영</t>
        </is>
      </c>
      <c r="H113" s="124" t="inlineStr">
        <is>
          <t>010-4712-1617</t>
        </is>
      </c>
      <c r="I113" s="79" t="n">
        <v>40391</v>
      </c>
      <c r="J113" s="80" t="n">
        <v>45536</v>
      </c>
      <c r="K113" s="81" t="n"/>
      <c r="L113" s="186" t="n">
        <v>53</v>
      </c>
      <c r="M113" s="187" t="n">
        <v>52</v>
      </c>
      <c r="N113" s="186" t="n">
        <v>63</v>
      </c>
      <c r="O113" s="107">
        <f>SUM(L113:N113)</f>
        <v/>
      </c>
      <c r="P113" s="74">
        <f>O113-$Q$3</f>
        <v/>
      </c>
    </row>
    <row r="114">
      <c r="A114" s="73">
        <f>ROW()-2</f>
        <v/>
      </c>
      <c r="B114" s="74" t="inlineStr">
        <is>
          <t>초격차</t>
        </is>
      </c>
      <c r="C114" s="75" t="n"/>
      <c r="D114" s="125" t="inlineStr">
        <is>
          <t>직접</t>
        </is>
      </c>
      <c r="E114" s="125" t="inlineStr">
        <is>
          <t>교대</t>
        </is>
      </c>
      <c r="F114" s="77" t="inlineStr">
        <is>
          <t>작업자</t>
        </is>
      </c>
      <c r="G114" s="74" t="inlineStr">
        <is>
          <t>이효순</t>
        </is>
      </c>
      <c r="H114" s="124" t="inlineStr">
        <is>
          <t>010-3401-8958</t>
        </is>
      </c>
      <c r="I114" s="79" t="n">
        <v>40513</v>
      </c>
      <c r="J114" s="80" t="n">
        <v>45536</v>
      </c>
      <c r="K114" s="81" t="n"/>
      <c r="L114" s="186" t="n">
        <v>18</v>
      </c>
      <c r="M114" s="187" t="n">
        <v>24</v>
      </c>
      <c r="N114" s="186" t="n">
        <v>24</v>
      </c>
      <c r="O114" s="107">
        <f>SUM(L114:N114)</f>
        <v/>
      </c>
      <c r="P114" s="74" t="n"/>
    </row>
    <row r="115">
      <c r="A115" s="73">
        <f>ROW()-2</f>
        <v/>
      </c>
      <c r="B115" s="74" t="inlineStr">
        <is>
          <t>튜브</t>
        </is>
      </c>
      <c r="C115" s="75" t="n"/>
      <c r="D115" s="125" t="inlineStr">
        <is>
          <t>직접</t>
        </is>
      </c>
      <c r="E115" s="125" t="inlineStr">
        <is>
          <t>교대</t>
        </is>
      </c>
      <c r="F115" s="77" t="inlineStr">
        <is>
          <t>OP</t>
        </is>
      </c>
      <c r="G115" s="74" t="inlineStr">
        <is>
          <t>임금숙</t>
        </is>
      </c>
      <c r="H115" s="124" t="inlineStr">
        <is>
          <t>010-2845-0429</t>
        </is>
      </c>
      <c r="I115" s="79" t="n">
        <v>41671</v>
      </c>
      <c r="J115" s="80" t="n">
        <v>45536</v>
      </c>
      <c r="K115" s="81" t="n"/>
      <c r="L115" s="186" t="n">
        <v>26</v>
      </c>
      <c r="M115" s="187" t="n">
        <v>39</v>
      </c>
      <c r="N115" s="186" t="n">
        <v>22</v>
      </c>
      <c r="O115" s="107">
        <f>SUM(L115:N115)</f>
        <v/>
      </c>
      <c r="P115" s="74" t="n"/>
    </row>
    <row r="116">
      <c r="A116" s="73" t="n"/>
      <c r="B116" s="74" t="inlineStr">
        <is>
          <t>멀티</t>
        </is>
      </c>
      <c r="C116" s="75" t="n"/>
      <c r="D116" s="125" t="n"/>
      <c r="E116" s="125" t="n"/>
      <c r="F116" s="77" t="n"/>
      <c r="G116" s="74" t="inlineStr">
        <is>
          <t>임미숙</t>
        </is>
      </c>
      <c r="H116" s="124" t="n"/>
      <c r="I116" s="79" t="n">
        <v>46063</v>
      </c>
      <c r="J116" s="80" t="n">
        <v>46143</v>
      </c>
      <c r="K116" s="81" t="n"/>
      <c r="L116" s="186" t="n">
        <v>27</v>
      </c>
      <c r="M116" s="187" t="n">
        <v>35</v>
      </c>
      <c r="N116" s="186" t="n">
        <v>32</v>
      </c>
      <c r="O116" s="107">
        <f>SUM(L116:N116)</f>
        <v/>
      </c>
      <c r="P116" s="74" t="n"/>
    </row>
    <row r="117">
      <c r="A117" s="73">
        <f>ROW()-2</f>
        <v/>
      </c>
      <c r="B117" s="74" t="inlineStr">
        <is>
          <t>주임</t>
        </is>
      </c>
      <c r="C117" s="75" t="n"/>
      <c r="D117" s="125" t="inlineStr">
        <is>
          <t>간접</t>
        </is>
      </c>
      <c r="E117" s="125" t="inlineStr">
        <is>
          <t>교대</t>
        </is>
      </c>
      <c r="F117" s="77" t="inlineStr">
        <is>
          <t>주임</t>
        </is>
      </c>
      <c r="G117" s="74" t="inlineStr">
        <is>
          <t>임설희</t>
        </is>
      </c>
      <c r="H117" s="124" t="inlineStr">
        <is>
          <t>010-2241-9875</t>
        </is>
      </c>
      <c r="I117" s="79" t="n">
        <v>40878</v>
      </c>
      <c r="J117" s="80" t="n">
        <v>45536</v>
      </c>
      <c r="K117" s="81" t="n"/>
      <c r="L117" s="186" t="n">
        <v>39</v>
      </c>
      <c r="M117" s="187" t="n">
        <v>66</v>
      </c>
      <c r="N117" s="186" t="n">
        <v>49</v>
      </c>
      <c r="O117" s="107">
        <f>SUM(L117:N117)</f>
        <v/>
      </c>
      <c r="P117" s="74" t="n"/>
    </row>
    <row r="118">
      <c r="A118" s="73">
        <f>ROW()-2</f>
        <v/>
      </c>
      <c r="B118" s="74" t="inlineStr">
        <is>
          <t>염모</t>
        </is>
      </c>
      <c r="C118" s="75" t="n"/>
      <c r="D118" s="125" t="inlineStr">
        <is>
          <t>간접</t>
        </is>
      </c>
      <c r="E118" s="125" t="inlineStr">
        <is>
          <t>교대</t>
        </is>
      </c>
      <c r="F118" s="77" t="inlineStr">
        <is>
          <t>PM</t>
        </is>
      </c>
      <c r="G118" s="74" t="inlineStr">
        <is>
          <t>임지환</t>
        </is>
      </c>
      <c r="H118" s="124" t="inlineStr">
        <is>
          <t>010-5636-5899</t>
        </is>
      </c>
      <c r="I118" s="88" t="inlineStr">
        <is>
          <t>2025-06-16</t>
        </is>
      </c>
      <c r="J118" s="80" t="n">
        <v>45870</v>
      </c>
      <c r="K118" s="81" t="n"/>
      <c r="L118" s="186" t="n">
        <v>32</v>
      </c>
      <c r="M118" s="187" t="n">
        <v>20.5</v>
      </c>
      <c r="N118" s="186" t="n">
        <v>33</v>
      </c>
      <c r="O118" s="107">
        <f>SUM(L118:N118)</f>
        <v/>
      </c>
      <c r="P118" s="74" t="n"/>
    </row>
    <row r="119" ht="18" customHeight="1" s="130">
      <c r="A119" s="73">
        <f>ROW()-2</f>
        <v/>
      </c>
      <c r="B119" s="74" t="inlineStr">
        <is>
          <t>직선</t>
        </is>
      </c>
      <c r="C119" s="75" t="n"/>
      <c r="D119" s="125" t="inlineStr">
        <is>
          <t>직접</t>
        </is>
      </c>
      <c r="E119" s="125" t="inlineStr">
        <is>
          <t>교대</t>
        </is>
      </c>
      <c r="F119" s="77" t="inlineStr">
        <is>
          <t>작업자</t>
        </is>
      </c>
      <c r="G119" s="74" t="inlineStr">
        <is>
          <t>임희화</t>
        </is>
      </c>
      <c r="H119" s="124" t="inlineStr">
        <is>
          <t>010-2043-8671</t>
        </is>
      </c>
      <c r="I119" s="79" t="n">
        <v>41562</v>
      </c>
      <c r="J119" s="80" t="n">
        <v>45536</v>
      </c>
      <c r="K119" s="81" t="n"/>
      <c r="L119" s="186" t="n">
        <v>3</v>
      </c>
      <c r="M119" s="187" t="n">
        <v>33</v>
      </c>
      <c r="N119" s="186" t="n">
        <v>12</v>
      </c>
      <c r="O119" s="107">
        <f>SUM(L119:N119)</f>
        <v/>
      </c>
      <c r="P119" s="74" t="n"/>
    </row>
    <row r="120">
      <c r="A120" s="73">
        <f>ROW()-2</f>
        <v/>
      </c>
      <c r="B120" s="74" t="inlineStr">
        <is>
          <t>멀티</t>
        </is>
      </c>
      <c r="C120" s="75" t="n"/>
      <c r="D120" s="125" t="inlineStr">
        <is>
          <t>직접</t>
        </is>
      </c>
      <c r="E120" s="125" t="inlineStr">
        <is>
          <t>교대</t>
        </is>
      </c>
      <c r="F120" s="77" t="inlineStr">
        <is>
          <t>작업자</t>
        </is>
      </c>
      <c r="G120" s="74" t="inlineStr">
        <is>
          <t>전경자</t>
        </is>
      </c>
      <c r="H120" s="124" t="inlineStr">
        <is>
          <t>010-2252-3171</t>
        </is>
      </c>
      <c r="I120" s="79" t="n">
        <v>40896</v>
      </c>
      <c r="J120" s="80" t="n">
        <v>45536</v>
      </c>
      <c r="K120" s="81" t="n"/>
      <c r="L120" s="186" t="n">
        <v>56</v>
      </c>
      <c r="M120" s="187" t="n">
        <v>41</v>
      </c>
      <c r="N120" s="186" t="n">
        <v>49</v>
      </c>
      <c r="O120" s="107">
        <f>SUM(L120:N120)</f>
        <v/>
      </c>
      <c r="P120" s="74" t="n"/>
    </row>
    <row r="121">
      <c r="A121" s="73" t="n"/>
      <c r="B121" s="74" t="n"/>
      <c r="C121" s="75" t="n"/>
      <c r="D121" s="125" t="n"/>
      <c r="E121" s="125" t="n"/>
      <c r="F121" s="77" t="n"/>
      <c r="G121" s="74" t="inlineStr">
        <is>
          <t>정란숙</t>
        </is>
      </c>
      <c r="H121" s="124" t="n"/>
      <c r="I121" s="79" t="n">
        <v>46160</v>
      </c>
      <c r="J121" s="80" t="n">
        <v>46235</v>
      </c>
      <c r="K121" s="81" t="n"/>
      <c r="L121" s="186" t="n">
        <v>0</v>
      </c>
      <c r="M121" s="187" t="n">
        <v>0</v>
      </c>
      <c r="N121" s="186" t="n">
        <v>21</v>
      </c>
      <c r="O121" s="107">
        <f>SUM(L121:N121)</f>
        <v/>
      </c>
      <c r="P121" s="74" t="n"/>
    </row>
    <row r="122">
      <c r="A122" s="73">
        <f>ROW()-2</f>
        <v/>
      </c>
      <c r="B122" s="74" t="inlineStr">
        <is>
          <t>직선</t>
        </is>
      </c>
      <c r="C122" s="75" t="n"/>
      <c r="D122" s="125" t="inlineStr">
        <is>
          <t>직접</t>
        </is>
      </c>
      <c r="E122" s="125" t="inlineStr">
        <is>
          <t>교대</t>
        </is>
      </c>
      <c r="F122" s="77" t="inlineStr">
        <is>
          <t>OP</t>
        </is>
      </c>
      <c r="G122" s="74" t="inlineStr">
        <is>
          <t>정미선</t>
        </is>
      </c>
      <c r="H122" s="124" t="inlineStr">
        <is>
          <t>010-4433-3761</t>
        </is>
      </c>
      <c r="I122" s="79" t="n">
        <v>40953</v>
      </c>
      <c r="J122" s="80" t="n">
        <v>45536</v>
      </c>
      <c r="K122" s="81" t="n"/>
      <c r="L122" s="186" t="n">
        <v>27</v>
      </c>
      <c r="M122" s="187" t="n">
        <v>41</v>
      </c>
      <c r="N122" s="186" t="n">
        <v>13</v>
      </c>
      <c r="O122" s="107">
        <f>SUM(L122:N122)</f>
        <v/>
      </c>
      <c r="P122" s="74" t="n"/>
    </row>
    <row r="123">
      <c r="A123" s="73">
        <f>ROW()-2</f>
        <v/>
      </c>
      <c r="B123" s="74" t="inlineStr">
        <is>
          <t>염모</t>
        </is>
      </c>
      <c r="C123" s="75" t="n"/>
      <c r="D123" s="125" t="inlineStr">
        <is>
          <t>직접</t>
        </is>
      </c>
      <c r="E123" s="125" t="inlineStr">
        <is>
          <t>교대</t>
        </is>
      </c>
      <c r="F123" s="77" t="inlineStr">
        <is>
          <t>OP</t>
        </is>
      </c>
      <c r="G123" s="74" t="inlineStr">
        <is>
          <t>정미옥</t>
        </is>
      </c>
      <c r="H123" s="124" t="inlineStr">
        <is>
          <t>010-8842-6122</t>
        </is>
      </c>
      <c r="I123" s="79" t="n">
        <v>42836</v>
      </c>
      <c r="J123" s="80" t="n">
        <v>45536</v>
      </c>
      <c r="K123" s="81" t="n"/>
      <c r="L123" s="186" t="n">
        <v>30</v>
      </c>
      <c r="M123" s="187" t="n">
        <v>17</v>
      </c>
      <c r="N123" s="186" t="n">
        <v>6</v>
      </c>
      <c r="O123" s="107">
        <f>SUM(L123:N123)</f>
        <v/>
      </c>
      <c r="P123" s="74" t="n"/>
    </row>
    <row r="124">
      <c r="A124" s="73" t="n"/>
      <c r="B124" s="74" t="n"/>
      <c r="C124" s="75" t="n"/>
      <c r="D124" s="125" t="n"/>
      <c r="E124" s="125" t="n"/>
      <c r="F124" s="77" t="n"/>
      <c r="G124" s="74" t="inlineStr">
        <is>
          <t>정보라</t>
        </is>
      </c>
      <c r="H124" s="124" t="n"/>
      <c r="I124" s="79" t="n">
        <v>46149</v>
      </c>
      <c r="J124" s="105" t="n">
        <v>46235</v>
      </c>
      <c r="K124" s="81" t="n"/>
      <c r="L124" s="186" t="n">
        <v>0</v>
      </c>
      <c r="M124" s="187" t="n">
        <v>0</v>
      </c>
      <c r="N124" s="186" t="n">
        <v>15</v>
      </c>
      <c r="O124" s="107">
        <f>SUM(L124:N124)</f>
        <v/>
      </c>
      <c r="P124" s="74" t="n"/>
    </row>
    <row r="125">
      <c r="A125" s="73">
        <f>ROW()-2</f>
        <v/>
      </c>
      <c r="B125" s="74" t="inlineStr">
        <is>
          <t>직선</t>
        </is>
      </c>
      <c r="C125" s="75" t="n"/>
      <c r="D125" s="125" t="inlineStr">
        <is>
          <t>직접</t>
        </is>
      </c>
      <c r="E125" s="125" t="inlineStr">
        <is>
          <t>교대</t>
        </is>
      </c>
      <c r="F125" s="77" t="inlineStr">
        <is>
          <t>작업자</t>
        </is>
      </c>
      <c r="G125" s="74" t="inlineStr">
        <is>
          <t>정상희</t>
        </is>
      </c>
      <c r="H125" s="124" t="inlineStr">
        <is>
          <t>010-2934-3752</t>
        </is>
      </c>
      <c r="I125" s="79" t="n">
        <v>45729</v>
      </c>
      <c r="J125" s="80" t="n">
        <v>45809</v>
      </c>
      <c r="K125" s="81" t="n"/>
      <c r="L125" s="186" t="n">
        <v>33</v>
      </c>
      <c r="M125" s="187" t="n">
        <v>33</v>
      </c>
      <c r="N125" s="186" t="n">
        <v>32</v>
      </c>
      <c r="O125" s="107">
        <f>SUM(L125:N125)</f>
        <v/>
      </c>
      <c r="P125" s="74" t="n"/>
    </row>
    <row r="126">
      <c r="A126" s="73">
        <f>ROW()-2</f>
        <v/>
      </c>
      <c r="B126" s="74" t="inlineStr">
        <is>
          <t>PM</t>
        </is>
      </c>
      <c r="C126" s="75" t="n"/>
      <c r="D126" s="125" t="inlineStr">
        <is>
          <t>간접</t>
        </is>
      </c>
      <c r="E126" s="125" t="inlineStr">
        <is>
          <t>교대</t>
        </is>
      </c>
      <c r="F126" s="77" t="inlineStr">
        <is>
          <t>PM</t>
        </is>
      </c>
      <c r="G126" s="74" t="inlineStr">
        <is>
          <t>정승리</t>
        </is>
      </c>
      <c r="H126" s="124" t="inlineStr">
        <is>
          <t>010-2322-0650</t>
        </is>
      </c>
      <c r="I126" s="79" t="n">
        <v>42279</v>
      </c>
      <c r="J126" s="80" t="n">
        <v>45536</v>
      </c>
      <c r="K126" s="81" t="n"/>
      <c r="L126" s="186" t="n">
        <v>35</v>
      </c>
      <c r="M126" s="187" t="n">
        <v>40</v>
      </c>
      <c r="N126" s="186" t="n">
        <v>45</v>
      </c>
      <c r="O126" s="107">
        <f>SUM(L126:N126)</f>
        <v/>
      </c>
      <c r="P126" s="74" t="n"/>
    </row>
    <row r="127">
      <c r="A127" s="73">
        <f>ROW()-2</f>
        <v/>
      </c>
      <c r="B127" s="74" t="inlineStr">
        <is>
          <t>O/C</t>
        </is>
      </c>
      <c r="C127" s="75" t="n"/>
      <c r="D127" s="125" t="inlineStr">
        <is>
          <t>간접</t>
        </is>
      </c>
      <c r="E127" s="125" t="inlineStr">
        <is>
          <t>교대</t>
        </is>
      </c>
      <c r="F127" s="77" t="inlineStr">
        <is>
          <t>도우미</t>
        </is>
      </c>
      <c r="G127" s="74" t="inlineStr">
        <is>
          <t>정진성</t>
        </is>
      </c>
      <c r="H127" s="124" t="inlineStr">
        <is>
          <t>010-3439-4726</t>
        </is>
      </c>
      <c r="I127" s="79" t="n">
        <v>39083</v>
      </c>
      <c r="J127" s="80" t="n">
        <v>45536</v>
      </c>
      <c r="K127" s="81" t="n"/>
      <c r="L127" s="186" t="n">
        <v>27</v>
      </c>
      <c r="M127" s="187" t="n">
        <v>32</v>
      </c>
      <c r="N127" s="186" t="n">
        <v>6</v>
      </c>
      <c r="O127" s="107">
        <f>SUM(L127:N127)</f>
        <v/>
      </c>
      <c r="P127" s="74" t="n"/>
    </row>
    <row r="128">
      <c r="A128" s="73">
        <f>ROW()-2</f>
        <v/>
      </c>
      <c r="B128" s="74" t="inlineStr">
        <is>
          <t>멀티</t>
        </is>
      </c>
      <c r="C128" s="75" t="n"/>
      <c r="D128" s="125" t="inlineStr">
        <is>
          <t>직접</t>
        </is>
      </c>
      <c r="E128" s="125" t="inlineStr">
        <is>
          <t>교대</t>
        </is>
      </c>
      <c r="F128" s="77" t="inlineStr">
        <is>
          <t>작업자</t>
        </is>
      </c>
      <c r="G128" s="74" t="inlineStr">
        <is>
          <t>정진숙</t>
        </is>
      </c>
      <c r="H128" s="124" t="inlineStr">
        <is>
          <t>010-5389-1301</t>
        </is>
      </c>
      <c r="I128" s="79" t="n">
        <v>41901</v>
      </c>
      <c r="J128" s="80" t="n">
        <v>46222</v>
      </c>
      <c r="K128" s="81" t="n"/>
      <c r="L128" s="186" t="n">
        <v>15</v>
      </c>
      <c r="M128" s="187" t="n">
        <v>0</v>
      </c>
      <c r="N128" s="186" t="n">
        <v>0</v>
      </c>
      <c r="O128" s="107">
        <f>SUM(L128:N128)</f>
        <v/>
      </c>
      <c r="P128" s="74" t="n"/>
    </row>
    <row r="129">
      <c r="A129" s="73">
        <f>ROW()-2</f>
        <v/>
      </c>
      <c r="B129" s="74" t="inlineStr">
        <is>
          <t>직선</t>
        </is>
      </c>
      <c r="C129" s="75" t="n"/>
      <c r="D129" s="125" t="inlineStr">
        <is>
          <t>직접</t>
        </is>
      </c>
      <c r="E129" s="125" t="inlineStr">
        <is>
          <t>교대</t>
        </is>
      </c>
      <c r="F129" s="77" t="inlineStr">
        <is>
          <t>작업자</t>
        </is>
      </c>
      <c r="G129" s="74" t="inlineStr">
        <is>
          <t>정찬순1</t>
        </is>
      </c>
      <c r="H129" s="124" t="inlineStr">
        <is>
          <t>010-4239-2246</t>
        </is>
      </c>
      <c r="I129" s="79" t="n">
        <v>43774</v>
      </c>
      <c r="J129" s="80" t="n">
        <v>45536</v>
      </c>
      <c r="K129" s="81" t="n"/>
      <c r="L129" s="186" t="n">
        <v>0</v>
      </c>
      <c r="M129" s="187" t="n">
        <v>0</v>
      </c>
      <c r="N129" s="186" t="n">
        <v>9</v>
      </c>
      <c r="O129" s="107">
        <f>SUM(L129:N129)</f>
        <v/>
      </c>
      <c r="P129" s="74" t="n"/>
    </row>
    <row r="130">
      <c r="A130" s="73" t="n"/>
      <c r="B130" s="74" t="n"/>
      <c r="C130" s="75" t="n"/>
      <c r="D130" s="125" t="n"/>
      <c r="E130" s="125" t="n"/>
      <c r="F130" s="77" t="n"/>
      <c r="G130" s="74" t="inlineStr">
        <is>
          <t>정찬순2</t>
        </is>
      </c>
      <c r="H130" s="124" t="n"/>
      <c r="I130" s="79" t="n">
        <v>46149</v>
      </c>
      <c r="J130" s="80" t="n">
        <v>46235</v>
      </c>
      <c r="K130" s="81" t="n"/>
      <c r="L130" s="186" t="n">
        <v>0</v>
      </c>
      <c r="M130" s="187" t="n">
        <v>0</v>
      </c>
      <c r="N130" s="186" t="n">
        <v>18</v>
      </c>
      <c r="O130" s="107">
        <f>SUM(L130:N130)</f>
        <v/>
      </c>
      <c r="P130" s="74" t="n"/>
    </row>
    <row r="131">
      <c r="A131" s="73">
        <f>ROW()-2</f>
        <v/>
      </c>
      <c r="B131" s="74" t="inlineStr">
        <is>
          <t>초격차</t>
        </is>
      </c>
      <c r="C131" s="75" t="n"/>
      <c r="D131" s="125" t="inlineStr">
        <is>
          <t>직접</t>
        </is>
      </c>
      <c r="E131" s="125" t="inlineStr">
        <is>
          <t>교대</t>
        </is>
      </c>
      <c r="F131" s="77" t="inlineStr">
        <is>
          <t>OP</t>
        </is>
      </c>
      <c r="G131" s="74" t="inlineStr">
        <is>
          <t>정해정</t>
        </is>
      </c>
      <c r="H131" s="124" t="inlineStr">
        <is>
          <t>010-8803-9521</t>
        </is>
      </c>
      <c r="I131" s="79" t="n">
        <v>39875</v>
      </c>
      <c r="J131" s="80" t="n">
        <v>45536</v>
      </c>
      <c r="K131" s="81" t="n"/>
      <c r="L131" s="186" t="n">
        <v>35</v>
      </c>
      <c r="M131" s="187" t="n">
        <v>23</v>
      </c>
      <c r="N131" s="186" t="n">
        <v>24</v>
      </c>
      <c r="O131" s="107">
        <f>SUM(L131:N131)</f>
        <v/>
      </c>
      <c r="P131" s="74" t="n"/>
    </row>
    <row r="132">
      <c r="A132" s="73">
        <f>ROW()-2</f>
        <v/>
      </c>
      <c r="B132" s="74" t="inlineStr">
        <is>
          <t>HnB</t>
        </is>
      </c>
      <c r="C132" s="75" t="n"/>
      <c r="D132" s="125" t="inlineStr">
        <is>
          <t>간접</t>
        </is>
      </c>
      <c r="E132" s="125" t="inlineStr">
        <is>
          <t>교대</t>
        </is>
      </c>
      <c r="F132" s="77" t="inlineStr">
        <is>
          <t>도우미</t>
        </is>
      </c>
      <c r="G132" s="74" t="inlineStr">
        <is>
          <t>정현수</t>
        </is>
      </c>
      <c r="H132" s="124" t="inlineStr">
        <is>
          <t>010-4088-9187</t>
        </is>
      </c>
      <c r="I132" s="79" t="n">
        <v>45959</v>
      </c>
      <c r="J132" s="80" t="n">
        <v>45959</v>
      </c>
      <c r="K132" s="81" t="n"/>
      <c r="L132" s="186" t="n">
        <v>55.5</v>
      </c>
      <c r="M132" s="187" t="n">
        <v>55</v>
      </c>
      <c r="N132" s="186" t="n">
        <v>47</v>
      </c>
      <c r="O132" s="107">
        <f>SUM(L132:N132)</f>
        <v/>
      </c>
      <c r="P132" s="74">
        <f>O132-$Q$3</f>
        <v/>
      </c>
    </row>
    <row r="133">
      <c r="A133" s="73">
        <f>ROW()-2</f>
        <v/>
      </c>
      <c r="B133" s="74" t="inlineStr">
        <is>
          <t>주임</t>
        </is>
      </c>
      <c r="C133" s="82" t="n"/>
      <c r="D133" s="125" t="inlineStr">
        <is>
          <t>간접</t>
        </is>
      </c>
      <c r="E133" s="125" t="inlineStr">
        <is>
          <t>교대</t>
        </is>
      </c>
      <c r="F133" s="77" t="inlineStr">
        <is>
          <t>주임</t>
        </is>
      </c>
      <c r="G133" s="74" t="inlineStr">
        <is>
          <t>정혜숙</t>
        </is>
      </c>
      <c r="H133" s="124" t="inlineStr">
        <is>
          <t>010-2780-5373</t>
        </is>
      </c>
      <c r="I133" s="79" t="n">
        <v>39083</v>
      </c>
      <c r="J133" s="80" t="n">
        <v>45536</v>
      </c>
      <c r="K133" s="81" t="n"/>
      <c r="L133" s="186" t="n">
        <v>62</v>
      </c>
      <c r="M133" s="187" t="n">
        <v>58</v>
      </c>
      <c r="N133" s="186" t="n">
        <v>71</v>
      </c>
      <c r="O133" s="107">
        <f>SUM(L133:N133)</f>
        <v/>
      </c>
      <c r="P133" s="74">
        <f>O133-$Q$3</f>
        <v/>
      </c>
    </row>
    <row r="134">
      <c r="A134" s="73">
        <f>ROW()-2</f>
        <v/>
      </c>
      <c r="B134" s="74" t="inlineStr">
        <is>
          <t>초격차</t>
        </is>
      </c>
      <c r="C134" s="75" t="n"/>
      <c r="D134" s="125" t="inlineStr">
        <is>
          <t>직접</t>
        </is>
      </c>
      <c r="E134" s="125" t="inlineStr">
        <is>
          <t>교대</t>
        </is>
      </c>
      <c r="F134" s="77" t="inlineStr">
        <is>
          <t>OP</t>
        </is>
      </c>
      <c r="G134" s="74" t="inlineStr">
        <is>
          <t>정화심</t>
        </is>
      </c>
      <c r="H134" s="124" t="inlineStr">
        <is>
          <t>010-7151-0031</t>
        </is>
      </c>
      <c r="I134" s="79" t="n">
        <v>40665</v>
      </c>
      <c r="J134" s="80" t="n">
        <v>45536</v>
      </c>
      <c r="K134" s="81" t="n"/>
      <c r="L134" s="186" t="n">
        <v>17</v>
      </c>
      <c r="M134" s="187" t="n">
        <v>24</v>
      </c>
      <c r="N134" s="186" t="n">
        <v>8</v>
      </c>
      <c r="O134" s="107">
        <f>SUM(L134:N134)</f>
        <v/>
      </c>
      <c r="P134" s="74" t="n"/>
    </row>
    <row r="135">
      <c r="A135" s="73">
        <f>ROW()-2</f>
        <v/>
      </c>
      <c r="B135" s="74" t="inlineStr">
        <is>
          <t>직선</t>
        </is>
      </c>
      <c r="C135" s="75" t="n"/>
      <c r="D135" s="125" t="inlineStr">
        <is>
          <t>직접</t>
        </is>
      </c>
      <c r="E135" s="125" t="inlineStr">
        <is>
          <t>교대</t>
        </is>
      </c>
      <c r="F135" s="77" t="inlineStr">
        <is>
          <t>작업자</t>
        </is>
      </c>
      <c r="G135" s="74" t="inlineStr">
        <is>
          <t>조명선</t>
        </is>
      </c>
      <c r="H135" s="124" t="inlineStr">
        <is>
          <t>010-4018-4550</t>
        </is>
      </c>
      <c r="I135" s="79" t="n">
        <v>41792</v>
      </c>
      <c r="J135" s="80" t="n">
        <v>45536</v>
      </c>
      <c r="K135" s="81" t="n"/>
      <c r="L135" s="186" t="n">
        <v>25</v>
      </c>
      <c r="M135" s="187" t="n">
        <v>35</v>
      </c>
      <c r="N135" s="186" t="n">
        <v>18</v>
      </c>
      <c r="O135" s="107">
        <f>SUM(L135:N135)</f>
        <v/>
      </c>
      <c r="P135" s="74" t="n"/>
    </row>
    <row r="136">
      <c r="A136" s="73">
        <f>ROW()-2</f>
        <v/>
      </c>
      <c r="B136" s="74" t="inlineStr">
        <is>
          <t>주임</t>
        </is>
      </c>
      <c r="C136" s="75" t="n"/>
      <c r="D136" s="125" t="inlineStr">
        <is>
          <t>간접</t>
        </is>
      </c>
      <c r="E136" s="125" t="inlineStr">
        <is>
          <t>교대</t>
        </is>
      </c>
      <c r="F136" s="77" t="inlineStr">
        <is>
          <t>주임</t>
        </is>
      </c>
      <c r="G136" s="74" t="inlineStr">
        <is>
          <t>조영순</t>
        </is>
      </c>
      <c r="H136" s="124" t="inlineStr">
        <is>
          <t>010-6412-7304</t>
        </is>
      </c>
      <c r="I136" s="79" t="n">
        <v>41064</v>
      </c>
      <c r="J136" s="80" t="n">
        <v>45536</v>
      </c>
      <c r="K136" s="81" t="n"/>
      <c r="L136" s="186" t="n">
        <v>75</v>
      </c>
      <c r="M136" s="187" t="n">
        <v>72.5</v>
      </c>
      <c r="N136" s="186" t="n">
        <v>77</v>
      </c>
      <c r="O136" s="107">
        <f>SUM(L136:N136)</f>
        <v/>
      </c>
      <c r="P136" s="74">
        <f>O136-$Q$3</f>
        <v/>
      </c>
    </row>
    <row r="137">
      <c r="A137" s="73">
        <f>ROW()-2</f>
        <v/>
      </c>
      <c r="B137" s="74" t="inlineStr">
        <is>
          <t>멀티</t>
        </is>
      </c>
      <c r="C137" s="75" t="n"/>
      <c r="D137" s="125" t="inlineStr">
        <is>
          <t>직접</t>
        </is>
      </c>
      <c r="E137" s="125" t="inlineStr">
        <is>
          <t>교대</t>
        </is>
      </c>
      <c r="F137" s="77" t="inlineStr">
        <is>
          <t>OP</t>
        </is>
      </c>
      <c r="G137" s="74" t="inlineStr">
        <is>
          <t>진선미</t>
        </is>
      </c>
      <c r="H137" s="124" t="inlineStr">
        <is>
          <t>010-4789-4391</t>
        </is>
      </c>
      <c r="I137" s="79" t="n">
        <v>42248</v>
      </c>
      <c r="J137" s="80" t="n">
        <v>45536</v>
      </c>
      <c r="K137" s="81" t="n"/>
      <c r="L137" s="186" t="n">
        <v>51</v>
      </c>
      <c r="M137" s="187" t="n">
        <v>49</v>
      </c>
      <c r="N137" s="186" t="n">
        <v>50</v>
      </c>
      <c r="O137" s="107">
        <f>SUM(L137:N137)</f>
        <v/>
      </c>
      <c r="P137" s="74" t="n"/>
    </row>
    <row r="138">
      <c r="A138" s="73">
        <f>ROW()-2</f>
        <v/>
      </c>
      <c r="B138" s="74" t="inlineStr">
        <is>
          <t>튜브</t>
        </is>
      </c>
      <c r="C138" s="75" t="n"/>
      <c r="D138" s="125" t="inlineStr">
        <is>
          <t>직접</t>
        </is>
      </c>
      <c r="E138" s="125" t="inlineStr">
        <is>
          <t>교대</t>
        </is>
      </c>
      <c r="F138" s="77" t="inlineStr">
        <is>
          <t>OP</t>
        </is>
      </c>
      <c r="G138" s="74" t="inlineStr">
        <is>
          <t>최경선</t>
        </is>
      </c>
      <c r="H138" s="124" t="inlineStr">
        <is>
          <t>010-6435-8235</t>
        </is>
      </c>
      <c r="I138" s="79" t="n">
        <v>42248</v>
      </c>
      <c r="J138" s="80" t="n">
        <v>45536</v>
      </c>
      <c r="K138" s="81" t="n"/>
      <c r="L138" s="186" t="n">
        <v>37</v>
      </c>
      <c r="M138" s="187" t="n">
        <v>60</v>
      </c>
      <c r="N138" s="186" t="n">
        <v>20</v>
      </c>
      <c r="O138" s="107">
        <f>SUM(L138:N138)</f>
        <v/>
      </c>
      <c r="P138" s="74" t="n"/>
    </row>
    <row r="139">
      <c r="A139" s="73">
        <f>ROW()-2</f>
        <v/>
      </c>
      <c r="B139" s="74" t="inlineStr">
        <is>
          <t>초격차</t>
        </is>
      </c>
      <c r="C139" s="75" t="n"/>
      <c r="D139" s="125" t="inlineStr">
        <is>
          <t>직접</t>
        </is>
      </c>
      <c r="E139" s="125" t="inlineStr">
        <is>
          <t>교대</t>
        </is>
      </c>
      <c r="F139" s="77" t="inlineStr">
        <is>
          <t>OP</t>
        </is>
      </c>
      <c r="G139" s="74" t="inlineStr">
        <is>
          <t>최광순</t>
        </is>
      </c>
      <c r="H139" s="124" t="inlineStr">
        <is>
          <t>010-4400-6058</t>
        </is>
      </c>
      <c r="I139" s="79" t="n">
        <v>39083</v>
      </c>
      <c r="J139" s="80" t="n">
        <v>45536</v>
      </c>
      <c r="K139" s="81" t="n"/>
      <c r="L139" s="186" t="n">
        <v>34</v>
      </c>
      <c r="M139" s="187" t="n">
        <v>39</v>
      </c>
      <c r="N139" s="186" t="n">
        <v>38</v>
      </c>
      <c r="O139" s="107">
        <f>SUM(L139:N139)</f>
        <v/>
      </c>
      <c r="P139" s="74" t="n"/>
    </row>
    <row r="140">
      <c r="A140" s="73">
        <f>ROW()-2</f>
        <v/>
      </c>
      <c r="B140" s="74" t="inlineStr">
        <is>
          <t>HnB</t>
        </is>
      </c>
      <c r="C140" s="75" t="n"/>
      <c r="D140" s="125" t="inlineStr">
        <is>
          <t>간접</t>
        </is>
      </c>
      <c r="E140" s="125" t="inlineStr">
        <is>
          <t>교대</t>
        </is>
      </c>
      <c r="F140" s="77" t="inlineStr">
        <is>
          <t>도우미</t>
        </is>
      </c>
      <c r="G140" s="74" t="inlineStr">
        <is>
          <t>최광일</t>
        </is>
      </c>
      <c r="H140" s="124" t="inlineStr">
        <is>
          <t>010-4332-5528</t>
        </is>
      </c>
      <c r="I140" s="79" t="n">
        <v>40792</v>
      </c>
      <c r="J140" s="80" t="n">
        <v>45536</v>
      </c>
      <c r="K140" s="81" t="n"/>
      <c r="L140" s="186" t="n">
        <v>56</v>
      </c>
      <c r="M140" s="187" t="n">
        <v>58</v>
      </c>
      <c r="N140" s="186" t="n">
        <v>71</v>
      </c>
      <c r="O140" s="107">
        <f>SUM(L140:N140)</f>
        <v/>
      </c>
      <c r="P140" s="74">
        <f>O140-$Q$3</f>
        <v/>
      </c>
    </row>
    <row r="141">
      <c r="A141" s="73">
        <f>ROW()-2</f>
        <v/>
      </c>
      <c r="B141" s="74" t="inlineStr">
        <is>
          <t>튜브</t>
        </is>
      </c>
      <c r="C141" s="75" t="n"/>
      <c r="D141" s="125" t="inlineStr">
        <is>
          <t>간접</t>
        </is>
      </c>
      <c r="E141" s="125" t="inlineStr">
        <is>
          <t>교대</t>
        </is>
      </c>
      <c r="F141" s="77" t="inlineStr">
        <is>
          <t>주임</t>
        </is>
      </c>
      <c r="G141" s="74" t="inlineStr">
        <is>
          <t>최명필</t>
        </is>
      </c>
      <c r="H141" s="124" t="inlineStr">
        <is>
          <t>010-8362-0585</t>
        </is>
      </c>
      <c r="I141" s="79" t="n">
        <v>40674</v>
      </c>
      <c r="J141" s="80" t="n">
        <v>45536</v>
      </c>
      <c r="K141" s="81" t="n"/>
      <c r="L141" s="186" t="n">
        <v>56.5</v>
      </c>
      <c r="M141" s="187" t="n">
        <v>69</v>
      </c>
      <c r="N141" s="186" t="n">
        <v>66</v>
      </c>
      <c r="O141" s="107">
        <f>SUM(L141:N141)</f>
        <v/>
      </c>
      <c r="P141" s="74">
        <f>O141-$Q$3</f>
        <v/>
      </c>
    </row>
    <row r="142">
      <c r="A142" s="73">
        <f>ROW()-2</f>
        <v/>
      </c>
      <c r="B142" s="74" t="inlineStr">
        <is>
          <t>실적/순회</t>
        </is>
      </c>
      <c r="C142" s="75" t="n"/>
      <c r="D142" s="125" t="inlineStr">
        <is>
          <t>간접</t>
        </is>
      </c>
      <c r="E142" s="125" t="inlineStr">
        <is>
          <t>교대</t>
        </is>
      </c>
      <c r="F142" s="77" t="inlineStr">
        <is>
          <t>실직/순회</t>
        </is>
      </c>
      <c r="G142" s="74" t="inlineStr">
        <is>
          <t>최숙영</t>
        </is>
      </c>
      <c r="H142" s="124" t="inlineStr">
        <is>
          <t>010-5420-5883</t>
        </is>
      </c>
      <c r="I142" s="79" t="n">
        <v>41766</v>
      </c>
      <c r="J142" s="80" t="n">
        <v>45536</v>
      </c>
      <c r="K142" s="81" t="n"/>
      <c r="L142" s="186" t="n">
        <v>27</v>
      </c>
      <c r="M142" s="187" t="n">
        <v>17</v>
      </c>
      <c r="N142" s="186" t="n">
        <v>0</v>
      </c>
      <c r="O142" s="107">
        <f>SUM(L142:N142)</f>
        <v/>
      </c>
      <c r="P142" s="74" t="n"/>
    </row>
    <row r="143">
      <c r="A143" s="73">
        <f>ROW()-2</f>
        <v/>
      </c>
      <c r="B143" s="74" t="inlineStr">
        <is>
          <t>초격차</t>
        </is>
      </c>
      <c r="C143" s="75" t="n"/>
      <c r="D143" s="125" t="inlineStr">
        <is>
          <t>직접</t>
        </is>
      </c>
      <c r="E143" s="125" t="inlineStr">
        <is>
          <t>교대</t>
        </is>
      </c>
      <c r="F143" s="77" t="inlineStr">
        <is>
          <t>OP</t>
        </is>
      </c>
      <c r="G143" s="74" t="inlineStr">
        <is>
          <t>최현경</t>
        </is>
      </c>
      <c r="H143" s="124" t="inlineStr">
        <is>
          <t>010-7412-7563</t>
        </is>
      </c>
      <c r="I143" s="79" t="n">
        <v>42219</v>
      </c>
      <c r="J143" s="80" t="n">
        <v>45536</v>
      </c>
      <c r="K143" s="81" t="n"/>
      <c r="L143" s="186" t="n">
        <v>28</v>
      </c>
      <c r="M143" s="187" t="n">
        <v>35</v>
      </c>
      <c r="N143" s="186" t="n">
        <v>33</v>
      </c>
      <c r="O143" s="107">
        <f>SUM(L143:N143)</f>
        <v/>
      </c>
      <c r="P143" s="74" t="n"/>
    </row>
    <row r="144">
      <c r="A144" s="73">
        <f>ROW()-2</f>
        <v/>
      </c>
      <c r="B144" s="74" t="inlineStr">
        <is>
          <t>O/C</t>
        </is>
      </c>
      <c r="C144" s="75" t="n"/>
      <c r="D144" s="125" t="inlineStr">
        <is>
          <t>직접</t>
        </is>
      </c>
      <c r="E144" s="125" t="inlineStr">
        <is>
          <t>교대</t>
        </is>
      </c>
      <c r="F144" s="77" t="inlineStr">
        <is>
          <t>OP</t>
        </is>
      </c>
      <c r="G144" s="74" t="inlineStr">
        <is>
          <t>추은희</t>
        </is>
      </c>
      <c r="H144" s="124" t="inlineStr">
        <is>
          <t>010-5436-0809</t>
        </is>
      </c>
      <c r="I144" s="79" t="n">
        <v>39539</v>
      </c>
      <c r="J144" s="80" t="n">
        <v>45536</v>
      </c>
      <c r="K144" s="81" t="n"/>
      <c r="L144" s="186" t="n">
        <v>33</v>
      </c>
      <c r="M144" s="187" t="n">
        <v>35</v>
      </c>
      <c r="N144" s="186" t="n">
        <v>12</v>
      </c>
      <c r="O144" s="107">
        <f>SUM(L144:N144)</f>
        <v/>
      </c>
      <c r="P144" s="74" t="n"/>
    </row>
    <row r="145">
      <c r="A145" s="73">
        <f>ROW()-2</f>
        <v/>
      </c>
      <c r="B145" s="74" t="inlineStr">
        <is>
          <t>멀티</t>
        </is>
      </c>
      <c r="C145" s="75" t="n"/>
      <c r="D145" s="125" t="inlineStr">
        <is>
          <t>직접</t>
        </is>
      </c>
      <c r="E145" s="125" t="inlineStr">
        <is>
          <t>교대</t>
        </is>
      </c>
      <c r="F145" s="77" t="inlineStr">
        <is>
          <t>작업자</t>
        </is>
      </c>
      <c r="G145" s="74" t="inlineStr">
        <is>
          <t>하연희</t>
        </is>
      </c>
      <c r="H145" s="124" t="inlineStr">
        <is>
          <t>010-4813-1608</t>
        </is>
      </c>
      <c r="I145" s="79" t="n">
        <v>45749</v>
      </c>
      <c r="J145" s="80" t="n">
        <v>45839</v>
      </c>
      <c r="K145" s="81" t="n"/>
      <c r="L145" s="186" t="n">
        <v>18</v>
      </c>
      <c r="M145" s="187" t="n">
        <v>0</v>
      </c>
      <c r="N145" s="186" t="n">
        <v>20</v>
      </c>
      <c r="O145" s="107">
        <f>SUM(L145:N145)</f>
        <v/>
      </c>
      <c r="P145" s="74" t="n"/>
    </row>
    <row r="146">
      <c r="A146" s="73">
        <f>ROW()-2</f>
        <v/>
      </c>
      <c r="B146" s="74" t="inlineStr">
        <is>
          <t>염모</t>
        </is>
      </c>
      <c r="C146" s="75" t="n"/>
      <c r="D146" s="125" t="inlineStr">
        <is>
          <t>간접</t>
        </is>
      </c>
      <c r="E146" s="125" t="inlineStr">
        <is>
          <t>교대</t>
        </is>
      </c>
      <c r="F146" s="77" t="inlineStr">
        <is>
          <t>도우미</t>
        </is>
      </c>
      <c r="G146" s="74" t="inlineStr">
        <is>
          <t>한관우</t>
        </is>
      </c>
      <c r="H146" s="124" t="inlineStr">
        <is>
          <t>010-3976-3400</t>
        </is>
      </c>
      <c r="I146" s="79" t="n">
        <v>44013</v>
      </c>
      <c r="J146" s="80" t="n">
        <v>45536</v>
      </c>
      <c r="K146" s="81" t="n"/>
      <c r="L146" s="186" t="n">
        <v>27</v>
      </c>
      <c r="M146" s="187" t="n">
        <v>0</v>
      </c>
      <c r="N146" s="186" t="n">
        <v>0</v>
      </c>
      <c r="O146" s="107">
        <f>SUM(L146:N146)</f>
        <v/>
      </c>
      <c r="P146" s="74" t="n"/>
    </row>
    <row r="147">
      <c r="A147" s="73">
        <f>ROW()-2</f>
        <v/>
      </c>
      <c r="B147" s="74" t="inlineStr">
        <is>
          <t>염모</t>
        </is>
      </c>
      <c r="C147" s="82" t="n"/>
      <c r="D147" s="125" t="inlineStr">
        <is>
          <t>직접</t>
        </is>
      </c>
      <c r="E147" s="125" t="inlineStr">
        <is>
          <t>교대</t>
        </is>
      </c>
      <c r="F147" s="77" t="inlineStr">
        <is>
          <t>OP</t>
        </is>
      </c>
      <c r="G147" s="74" t="inlineStr">
        <is>
          <t>허민경</t>
        </is>
      </c>
      <c r="H147" s="124" t="inlineStr">
        <is>
          <t>010-3590-7966</t>
        </is>
      </c>
      <c r="I147" s="79" t="n">
        <v>45706</v>
      </c>
      <c r="J147" s="80" t="n">
        <v>45778</v>
      </c>
      <c r="K147" s="81" t="n"/>
      <c r="L147" s="186" t="n">
        <v>9</v>
      </c>
      <c r="M147" s="187" t="n">
        <v>1.5</v>
      </c>
      <c r="N147" s="186" t="n">
        <v>3</v>
      </c>
      <c r="O147" s="107">
        <f>SUM(L147:N147)</f>
        <v/>
      </c>
      <c r="P147" s="74" t="n"/>
    </row>
    <row r="148">
      <c r="A148" s="73">
        <f>ROW()-2</f>
        <v/>
      </c>
      <c r="B148" s="74" t="inlineStr">
        <is>
          <t>직선</t>
        </is>
      </c>
      <c r="C148" s="75" t="n"/>
      <c r="D148" s="125" t="inlineStr">
        <is>
          <t>직접</t>
        </is>
      </c>
      <c r="E148" s="125" t="inlineStr">
        <is>
          <t>교대</t>
        </is>
      </c>
      <c r="F148" s="77" t="inlineStr">
        <is>
          <t>작업자</t>
        </is>
      </c>
      <c r="G148" s="74" t="inlineStr">
        <is>
          <t>허숙이</t>
        </is>
      </c>
      <c r="H148" s="124" t="inlineStr">
        <is>
          <t>010-3453-7072</t>
        </is>
      </c>
      <c r="I148" s="79" t="n">
        <v>40291</v>
      </c>
      <c r="J148" s="80" t="n">
        <v>46018</v>
      </c>
      <c r="K148" s="81" t="n"/>
      <c r="L148" s="186" t="n">
        <v>45</v>
      </c>
      <c r="M148" s="187" t="n">
        <v>55</v>
      </c>
      <c r="N148" s="186" t="n">
        <v>47</v>
      </c>
      <c r="O148" s="107">
        <f>SUM(L148:N148)</f>
        <v/>
      </c>
      <c r="P148" s="74" t="n"/>
    </row>
    <row r="149">
      <c r="A149" s="73">
        <f>ROW()-2</f>
        <v/>
      </c>
      <c r="B149" s="74" t="inlineStr">
        <is>
          <t>튜브</t>
        </is>
      </c>
      <c r="C149" s="75" t="n"/>
      <c r="D149" s="125" t="inlineStr">
        <is>
          <t>간접</t>
        </is>
      </c>
      <c r="E149" s="125" t="inlineStr">
        <is>
          <t>교대</t>
        </is>
      </c>
      <c r="F149" s="77" t="inlineStr">
        <is>
          <t>PM</t>
        </is>
      </c>
      <c r="G149" s="74" t="inlineStr">
        <is>
          <t>허승완</t>
        </is>
      </c>
      <c r="H149" s="124" t="inlineStr">
        <is>
          <t>010-8523-4939</t>
        </is>
      </c>
      <c r="I149" s="79" t="n">
        <v>44018</v>
      </c>
      <c r="J149" s="80" t="n">
        <v>45536</v>
      </c>
      <c r="K149" s="81" t="n"/>
      <c r="L149" s="186" t="n">
        <v>33</v>
      </c>
      <c r="M149" s="187" t="n">
        <v>39</v>
      </c>
      <c r="N149" s="186" t="n">
        <v>35</v>
      </c>
      <c r="O149" s="107">
        <f>SUM(L149:N149)</f>
        <v/>
      </c>
      <c r="P149" s="74" t="n"/>
    </row>
    <row r="150">
      <c r="A150" s="73">
        <f>ROW()-2</f>
        <v/>
      </c>
      <c r="B150" s="74" t="inlineStr">
        <is>
          <t>초격차</t>
        </is>
      </c>
      <c r="C150" s="75" t="n"/>
      <c r="D150" s="125" t="inlineStr">
        <is>
          <t>직접</t>
        </is>
      </c>
      <c r="E150" s="125" t="inlineStr">
        <is>
          <t>교대</t>
        </is>
      </c>
      <c r="F150" s="77" t="inlineStr">
        <is>
          <t>작업자</t>
        </is>
      </c>
      <c r="G150" s="74" t="inlineStr">
        <is>
          <t>홍정아</t>
        </is>
      </c>
      <c r="H150" s="124" t="inlineStr">
        <is>
          <t>010-9823-2935</t>
        </is>
      </c>
      <c r="I150" s="79" t="n">
        <v>41760</v>
      </c>
      <c r="J150" s="80" t="n">
        <v>45536</v>
      </c>
      <c r="K150" s="81" t="n"/>
      <c r="L150" s="186" t="n">
        <v>10</v>
      </c>
      <c r="M150" s="187" t="n">
        <v>8</v>
      </c>
      <c r="N150" s="186" t="n">
        <v>8</v>
      </c>
      <c r="O150" s="107">
        <f>SUM(L150:N150)</f>
        <v/>
      </c>
      <c r="P150" s="74" t="n"/>
    </row>
    <row r="151">
      <c r="A151" s="73">
        <f>ROW()-2</f>
        <v/>
      </c>
      <c r="B151" s="74" t="inlineStr">
        <is>
          <t>멀티</t>
        </is>
      </c>
      <c r="C151" s="75" t="n"/>
      <c r="D151" s="125" t="inlineStr">
        <is>
          <t>직접</t>
        </is>
      </c>
      <c r="E151" s="125" t="inlineStr">
        <is>
          <t>교대</t>
        </is>
      </c>
      <c r="F151" s="77" t="inlineStr">
        <is>
          <t>OP</t>
        </is>
      </c>
      <c r="G151" s="74" t="inlineStr">
        <is>
          <t>황선민</t>
        </is>
      </c>
      <c r="H151" s="124" t="inlineStr">
        <is>
          <t>010-4886-6432</t>
        </is>
      </c>
      <c r="I151" s="79" t="n">
        <v>42639</v>
      </c>
      <c r="J151" s="80" t="n">
        <v>45536</v>
      </c>
      <c r="K151" s="81" t="n"/>
      <c r="L151" s="186" t="n">
        <v>26</v>
      </c>
      <c r="M151" s="187" t="n">
        <v>24</v>
      </c>
      <c r="N151" s="186" t="n">
        <v>18</v>
      </c>
      <c r="O151" s="107">
        <f>SUM(L151:N151)</f>
        <v/>
      </c>
      <c r="P151" s="74" t="n"/>
    </row>
    <row r="152">
      <c r="A152" s="73">
        <f>ROW()-2</f>
        <v/>
      </c>
      <c r="B152" s="92" t="inlineStr">
        <is>
          <t>염모</t>
        </is>
      </c>
      <c r="C152" s="93" t="n"/>
      <c r="D152" s="94" t="inlineStr">
        <is>
          <t>직접</t>
        </is>
      </c>
      <c r="E152" s="94" t="inlineStr">
        <is>
          <t>교대</t>
        </is>
      </c>
      <c r="F152" s="95" t="inlineStr">
        <is>
          <t>OP</t>
        </is>
      </c>
      <c r="G152" s="92" t="inlineStr">
        <is>
          <t>황인진</t>
        </is>
      </c>
      <c r="H152" s="96" t="inlineStr">
        <is>
          <t>010-3397-3200</t>
        </is>
      </c>
      <c r="I152" s="97" t="n">
        <v>42478</v>
      </c>
      <c r="J152" s="98" t="n">
        <v>45536</v>
      </c>
      <c r="K152" s="99" t="n"/>
      <c r="L152" s="188" t="n">
        <v>26</v>
      </c>
      <c r="M152" s="189" t="n">
        <v>0</v>
      </c>
      <c r="N152" s="186" t="n">
        <v>0</v>
      </c>
      <c r="O152" s="107">
        <f>SUM(L152:N152)</f>
        <v/>
      </c>
      <c r="P152" s="74" t="n"/>
    </row>
    <row r="153" ht="18" customHeight="1" s="130" thickBot="1">
      <c r="A153" s="73">
        <f>ROW()-2</f>
        <v/>
      </c>
      <c r="B153" s="92" t="inlineStr">
        <is>
          <t>PM</t>
        </is>
      </c>
      <c r="C153" s="100" t="n"/>
      <c r="D153" s="94" t="inlineStr">
        <is>
          <t>간접</t>
        </is>
      </c>
      <c r="E153" s="94" t="inlineStr">
        <is>
          <t>교대</t>
        </is>
      </c>
      <c r="F153" s="95" t="inlineStr">
        <is>
          <t>PM</t>
        </is>
      </c>
      <c r="G153" s="92" t="inlineStr">
        <is>
          <t>황인철</t>
        </is>
      </c>
      <c r="H153" s="96" t="inlineStr">
        <is>
          <t>010-6848-3066</t>
        </is>
      </c>
      <c r="I153" s="97" t="n">
        <v>45057</v>
      </c>
      <c r="J153" s="98" t="n">
        <v>45536</v>
      </c>
      <c r="K153" s="99" t="n"/>
      <c r="L153" s="188" t="n">
        <v>36</v>
      </c>
      <c r="M153" s="189" t="n">
        <v>49</v>
      </c>
      <c r="N153" s="186" t="n">
        <v>49</v>
      </c>
      <c r="O153" s="107">
        <f>SUM(L153:N153)</f>
        <v/>
      </c>
      <c r="P153" s="74" t="n"/>
    </row>
    <row r="154" ht="18" customHeight="1" s="130" thickBot="1">
      <c r="A154" s="101" t="inlineStr">
        <is>
          <t>합계</t>
        </is>
      </c>
      <c r="B154" s="102" t="n"/>
      <c r="C154" s="102" t="n"/>
      <c r="D154" s="102" t="n"/>
      <c r="E154" s="102" t="n"/>
      <c r="F154" s="102" t="n"/>
      <c r="G154" s="102" t="n"/>
      <c r="H154" s="102" t="n"/>
      <c r="I154" s="102" t="n"/>
      <c r="J154" s="102" t="n"/>
      <c r="K154" s="103" t="n"/>
      <c r="L154" s="102">
        <f>SUM(L3:L153)</f>
        <v/>
      </c>
      <c r="M154" s="119">
        <f>SUM(M3:M153)</f>
        <v/>
      </c>
      <c r="N154" s="102">
        <f>SUM(N3:N153)</f>
        <v/>
      </c>
      <c r="O154" s="190">
        <f>SUM(O3:O153)</f>
        <v/>
      </c>
      <c r="P154" s="190">
        <f>SUM(P3:P153)</f>
        <v/>
      </c>
    </row>
  </sheetData>
  <autoFilter ref="A2:P154">
    <sortState ref="A3:P154">
      <sortCondition ref="A2:A154"/>
    </sortState>
  </autoFilter>
  <conditionalFormatting sqref="G1:G1048576">
    <cfRule type="duplicateValues" priority="3" dxfId="0"/>
  </conditionalFormatting>
  <conditionalFormatting sqref="G1:G153 G155:G1048576">
    <cfRule type="duplicateValues" priority="2" dxfId="0"/>
  </conditionalFormatting>
  <conditionalFormatting sqref="O1:O1048576">
    <cfRule type="cellIs" priority="1" operator="greaterThan" dxfId="0">
      <formula>156</formula>
    </cfRule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wldnjs151@naver.com</dc:creator>
  <dcterms:created xsi:type="dcterms:W3CDTF">2026-09-01T04:47:25Z</dcterms:created>
  <dcterms:modified xsi:type="dcterms:W3CDTF">2026-09-02T05:10:53Z</dcterms:modified>
  <cp:lastModifiedBy>게스트 사용자</cp:lastModifiedBy>
</cp:coreProperties>
</file>