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760" tabRatio="600" firstSheet="0" activeTab="3" autoFilterDateGrouping="1"/>
  </bookViews>
  <sheets>
    <sheet name="0.요약" sheetId="1" state="visible" r:id="rId1"/>
    <sheet name="1.라인별상세" sheetId="2" state="visible" r:id="rId2"/>
    <sheet name="HnB" sheetId="3" state="visible" r:id="rId3"/>
    <sheet name="튜브" sheetId="4" state="visible" r:id="rId4"/>
    <sheet name="염모제" sheetId="5" state="visible" r:id="rId5"/>
    <sheet name="치약" sheetId="6" state="visible" r:id="rId6"/>
  </sheets>
  <definedNames>
    <definedName name="_xlnm.Print_Area" localSheetId="0">'0.요약'!$A$1:$R$37</definedName>
    <definedName name="_xlnm.Print_Area" localSheetId="1">'1.라인별상세'!$A$1:$M$74</definedName>
  </definedNames>
  <calcPr calcId="162913" fullCalcOnLoad="1"/>
</workbook>
</file>

<file path=xl/styles.xml><?xml version="1.0" encoding="utf-8"?>
<styleSheet xmlns="http://schemas.openxmlformats.org/spreadsheetml/2006/main">
  <numFmts count="6">
    <numFmt numFmtId="164" formatCode="#,##0_ "/>
    <numFmt numFmtId="165" formatCode="0.#"/>
    <numFmt numFmtId="166" formatCode="+0.#;−0.#;0"/>
    <numFmt numFmtId="167" formatCode="+0;−0;0"/>
    <numFmt numFmtId="168" formatCode="+0.#"/>
    <numFmt numFmtId="169" formatCode="+0"/>
  </numFmts>
  <fonts count="3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2"/>
      <sz val="11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color theme="1"/>
      <sz val="14"/>
      <scheme val="minor"/>
    </font>
    <font>
      <name val="맑은 고딕"/>
      <charset val="129"/>
      <family val="3"/>
      <color rgb="FFFF0000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color rgb="FFFF0000"/>
      <sz val="14"/>
      <scheme val="minor"/>
    </font>
    <font>
      <name val="맑은 고딕"/>
      <charset val="129"/>
      <family val="2"/>
      <color theme="1"/>
      <sz val="14"/>
      <scheme val="minor"/>
    </font>
    <font>
      <name val="맑은 고딕"/>
      <charset val="129"/>
      <family val="2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rgb="FFFF0000"/>
      <sz val="10"/>
      <scheme val="minor"/>
    </font>
    <font>
      <name val="맑은 고딕"/>
      <charset val="129"/>
      <family val="3"/>
      <sz val="10"/>
      <scheme val="minor"/>
    </font>
    <font>
      <name val="맑은 고딕"/>
      <b val="1"/>
      <color rgb="00FFFFFF"/>
      <sz val="13"/>
    </font>
    <font>
      <name val="맑은 고딕"/>
      <color rgb="007F7F7F"/>
      <sz val="7.5"/>
    </font>
    <font>
      <name val="맑은 고딕"/>
      <b val="1"/>
      <color rgb="00FFFFFF"/>
      <sz val="9"/>
    </font>
    <font>
      <name val="맑은 고딕"/>
      <b val="1"/>
      <color rgb="00FFFFFF"/>
      <sz val="8"/>
    </font>
    <font>
      <name val="맑은 고딕"/>
      <b val="1"/>
      <color rgb="00000000"/>
      <sz val="8"/>
    </font>
    <font>
      <name val="맑은 고딕"/>
      <color rgb="00000000"/>
      <sz val="8"/>
    </font>
    <font>
      <name val="맑은 고딕"/>
      <b val="1"/>
      <color rgb="00C00000"/>
      <sz val="9"/>
    </font>
    <font>
      <name val="맑은 고딕"/>
      <b val="1"/>
      <color rgb="00000000"/>
      <sz val="9"/>
    </font>
    <font>
      <name val="맑은 고딕"/>
      <b val="1"/>
      <color rgb="00C00000"/>
      <sz val="10"/>
    </font>
    <font>
      <name val="맑은 고딕"/>
      <b val="1"/>
      <color rgb="00000000"/>
      <sz val="8.5"/>
    </font>
    <font>
      <name val="맑은 고딕"/>
      <b val="1"/>
      <color rgb="00FFFFFF"/>
      <sz val="7.5"/>
    </font>
    <font>
      <name val="맑은 고딕"/>
      <color rgb="00000000"/>
      <sz val="7.5"/>
    </font>
    <font>
      <name val="맑은 고딕"/>
      <b val="1"/>
      <color rgb="00FFFFFF"/>
      <sz val="12"/>
    </font>
    <font>
      <name val="맑은 고딕"/>
      <b val="1"/>
      <color rgb="00C00000"/>
      <sz val="8"/>
    </font>
  </fonts>
  <fills count="1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000F2438"/>
      </patternFill>
    </fill>
    <fill>
      <patternFill patternType="solid">
        <fgColor rgb="005B7F52"/>
      </patternFill>
    </fill>
    <fill>
      <patternFill patternType="solid">
        <fgColor rgb="00EEF1F1"/>
      </patternFill>
    </fill>
    <fill>
      <patternFill patternType="solid">
        <fgColor rgb="00FFF2CC"/>
      </patternFill>
    </fill>
    <fill>
      <patternFill patternType="solid">
        <fgColor rgb="00E8F1E6"/>
      </patternFill>
    </fill>
    <fill>
      <patternFill patternType="solid">
        <fgColor rgb="00FCE4E4"/>
      </patternFill>
    </fill>
    <fill>
      <patternFill patternType="solid">
        <fgColor rgb="00C00000"/>
      </patternFill>
    </fill>
  </fills>
  <borders count="2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1" fillId="0" borderId="0" applyAlignment="1">
      <alignment vertical="center"/>
    </xf>
  </cellStyleXfs>
  <cellXfs count="143">
    <xf numFmtId="0" fontId="1" fillId="0" borderId="0" applyAlignment="1" pivotButton="0" quotePrefix="0" xfId="0">
      <alignment vertical="center"/>
    </xf>
    <xf numFmtId="0" fontId="7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3" borderId="1" applyAlignment="1" pivotButton="0" quotePrefix="1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7" borderId="10" applyAlignment="1" pivotButton="0" quotePrefix="0" xfId="0">
      <alignment horizontal="center" vertical="center"/>
    </xf>
    <xf numFmtId="0" fontId="7" fillId="5" borderId="1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/>
    </xf>
    <xf numFmtId="0" fontId="7" fillId="5" borderId="1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/>
    </xf>
    <xf numFmtId="164" fontId="13" fillId="0" borderId="0" applyAlignment="1" pivotButton="0" quotePrefix="0" xfId="0">
      <alignment horizontal="center" vertical="center"/>
    </xf>
    <xf numFmtId="0" fontId="12" fillId="2" borderId="7" applyAlignment="1" pivotButton="0" quotePrefix="0" xfId="0">
      <alignment horizontal="center" vertical="center"/>
    </xf>
    <xf numFmtId="0" fontId="14" fillId="2" borderId="6" applyAlignment="1" pivotButton="0" quotePrefix="0" xfId="0">
      <alignment horizontal="center" vertical="center"/>
    </xf>
    <xf numFmtId="0" fontId="14" fillId="2" borderId="4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164" fontId="13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17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18" fillId="0" borderId="15" applyAlignment="1" pivotButton="0" quotePrefix="0" xfId="0">
      <alignment horizontal="left" vertical="center"/>
    </xf>
    <xf numFmtId="0" fontId="0" fillId="0" borderId="15" pivotButton="0" quotePrefix="0" xfId="0"/>
    <xf numFmtId="0" fontId="19" fillId="9" borderId="0" applyAlignment="1" pivotButton="0" quotePrefix="0" xfId="0">
      <alignment horizontal="left" vertical="center" indent="1"/>
    </xf>
    <xf numFmtId="0" fontId="0" fillId="9" borderId="0" pivotButton="0" quotePrefix="0" xfId="0"/>
    <xf numFmtId="0" fontId="20" fillId="8" borderId="15" applyAlignment="1" pivotButton="0" quotePrefix="0" xfId="0">
      <alignment horizontal="center" vertical="center"/>
    </xf>
    <xf numFmtId="0" fontId="0" fillId="8" borderId="15" pivotButton="0" quotePrefix="0" xfId="0"/>
    <xf numFmtId="0" fontId="21" fillId="10" borderId="15" applyAlignment="1" pivotButton="0" quotePrefix="0" xfId="0">
      <alignment horizontal="center" vertical="center"/>
    </xf>
    <xf numFmtId="0" fontId="0" fillId="10" borderId="15" pivotButton="0" quotePrefix="0" xfId="0"/>
    <xf numFmtId="1" fontId="22" fillId="0" borderId="15" applyAlignment="1" pivotButton="0" quotePrefix="0" xfId="0">
      <alignment horizontal="center" vertical="center"/>
    </xf>
    <xf numFmtId="165" fontId="22" fillId="0" borderId="15" applyAlignment="1" pivotButton="0" quotePrefix="0" xfId="0">
      <alignment horizontal="center" vertical="center"/>
    </xf>
    <xf numFmtId="166" fontId="23" fillId="11" borderId="15" applyAlignment="1" pivotButton="0" quotePrefix="0" xfId="0">
      <alignment horizontal="center" vertical="center"/>
    </xf>
    <xf numFmtId="0" fontId="0" fillId="11" borderId="15" pivotButton="0" quotePrefix="0" xfId="0"/>
    <xf numFmtId="167" fontId="23" fillId="0" borderId="15" applyAlignment="1" pivotButton="0" quotePrefix="0" xfId="0">
      <alignment horizontal="center" vertical="center"/>
    </xf>
    <xf numFmtId="3" fontId="22" fillId="0" borderId="15" applyAlignment="1" pivotButton="0" quotePrefix="0" xfId="0">
      <alignment horizontal="center" vertical="center"/>
    </xf>
    <xf numFmtId="166" fontId="24" fillId="12" borderId="15" applyAlignment="1" pivotButton="0" quotePrefix="0" xfId="0">
      <alignment horizontal="center" vertical="center"/>
    </xf>
    <xf numFmtId="0" fontId="0" fillId="12" borderId="15" pivotButton="0" quotePrefix="0" xfId="0"/>
    <xf numFmtId="167" fontId="24" fillId="0" borderId="15" applyAlignment="1" pivotButton="0" quotePrefix="0" xfId="0">
      <alignment horizontal="center" vertical="center"/>
    </xf>
    <xf numFmtId="166" fontId="23" fillId="13" borderId="15" applyAlignment="1" pivotButton="0" quotePrefix="0" xfId="0">
      <alignment horizontal="center" vertical="center"/>
    </xf>
    <xf numFmtId="0" fontId="0" fillId="13" borderId="15" pivotButton="0" quotePrefix="0" xfId="0"/>
    <xf numFmtId="0" fontId="19" fillId="8" borderId="15" applyAlignment="1" pivotButton="0" quotePrefix="0" xfId="0">
      <alignment horizontal="center" vertical="center"/>
    </xf>
    <xf numFmtId="1" fontId="21" fillId="10" borderId="15" applyAlignment="1" pivotButton="0" quotePrefix="0" xfId="0">
      <alignment horizontal="center" vertical="center"/>
    </xf>
    <xf numFmtId="165" fontId="21" fillId="10" borderId="15" applyAlignment="1" pivotButton="0" quotePrefix="0" xfId="0">
      <alignment horizontal="center" vertical="center"/>
    </xf>
    <xf numFmtId="168" fontId="25" fillId="13" borderId="15" applyAlignment="1" pivotButton="0" quotePrefix="0" xfId="0">
      <alignment horizontal="center" vertical="center"/>
    </xf>
    <xf numFmtId="169" fontId="25" fillId="13" borderId="15" applyAlignment="1" pivotButton="0" quotePrefix="0" xfId="0">
      <alignment horizontal="center" vertical="center"/>
    </xf>
    <xf numFmtId="3" fontId="21" fillId="10" borderId="15" applyAlignment="1" pivotButton="0" quotePrefix="0" xfId="0">
      <alignment horizontal="center" vertical="center"/>
    </xf>
    <xf numFmtId="0" fontId="18" fillId="0" borderId="15" applyAlignment="1" pivotButton="0" quotePrefix="0" xfId="0">
      <alignment horizontal="left" vertical="center" wrapText="1"/>
    </xf>
    <xf numFmtId="0" fontId="19" fillId="14" borderId="0" applyAlignment="1" pivotButton="0" quotePrefix="0" xfId="0">
      <alignment horizontal="left" vertical="center" indent="1"/>
    </xf>
    <xf numFmtId="0" fontId="0" fillId="14" borderId="0" pivotButton="0" quotePrefix="0" xfId="0"/>
    <xf numFmtId="0" fontId="23" fillId="13" borderId="15" applyAlignment="1" pivotButton="0" quotePrefix="0" xfId="0">
      <alignment horizontal="left" vertical="center" wrapText="1"/>
    </xf>
    <xf numFmtId="0" fontId="26" fillId="11" borderId="15" applyAlignment="1" pivotButton="0" quotePrefix="0" xfId="0">
      <alignment horizontal="left" vertical="center" wrapText="1"/>
    </xf>
    <xf numFmtId="0" fontId="26" fillId="12" borderId="15" applyAlignment="1" pivotButton="0" quotePrefix="0" xfId="0">
      <alignment horizontal="left" vertical="center" wrapText="1"/>
    </xf>
    <xf numFmtId="0" fontId="27" fillId="8" borderId="15" applyAlignment="1" pivotButton="0" quotePrefix="0" xfId="0">
      <alignment horizontal="center" vertical="center"/>
    </xf>
    <xf numFmtId="0" fontId="28" fillId="10" borderId="15" applyAlignment="1" pivotButton="0" quotePrefix="0" xfId="0">
      <alignment horizontal="left" vertical="center"/>
    </xf>
    <xf numFmtId="0" fontId="28" fillId="11" borderId="15" applyAlignment="1" pivotButton="0" quotePrefix="0" xfId="0">
      <alignment horizontal="center" vertical="center"/>
    </xf>
    <xf numFmtId="0" fontId="28" fillId="13" borderId="15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 indent="1"/>
    </xf>
    <xf numFmtId="0" fontId="21" fillId="10" borderId="15" applyAlignment="1" pivotButton="0" quotePrefix="0" xfId="0">
      <alignment horizontal="left" vertical="center"/>
    </xf>
    <xf numFmtId="0" fontId="22" fillId="0" borderId="15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/>
    </xf>
    <xf numFmtId="0" fontId="22" fillId="12" borderId="15" applyAlignment="1" pivotButton="0" quotePrefix="0" xfId="0">
      <alignment horizontal="left" vertical="center"/>
    </xf>
    <xf numFmtId="0" fontId="22" fillId="11" borderId="15" applyAlignment="1" pivotButton="0" quotePrefix="0" xfId="0">
      <alignment horizontal="left" vertical="center"/>
    </xf>
    <xf numFmtId="0" fontId="22" fillId="13" borderId="15" applyAlignment="1" pivotButton="0" quotePrefix="0" xfId="0">
      <alignment horizontal="left" vertical="center"/>
    </xf>
    <xf numFmtId="0" fontId="22" fillId="0" borderId="15" applyAlignment="1" pivotButton="0" quotePrefix="0" xfId="0">
      <alignment horizontal="left" vertical="center" wrapText="1"/>
    </xf>
    <xf numFmtId="0" fontId="29" fillId="8" borderId="0" applyAlignment="1" pivotButton="0" quotePrefix="0" xfId="0">
      <alignment horizontal="left" vertical="center" indent="1"/>
    </xf>
    <xf numFmtId="0" fontId="20" fillId="8" borderId="15" applyAlignment="1" pivotButton="0" quotePrefix="0" xfId="0">
      <alignment horizontal="center" vertical="center" wrapText="1"/>
    </xf>
    <xf numFmtId="0" fontId="22" fillId="0" borderId="15" applyAlignment="1" pivotButton="0" quotePrefix="0" xfId="0">
      <alignment horizontal="left" vertical="center"/>
    </xf>
    <xf numFmtId="1" fontId="30" fillId="0" borderId="15" applyAlignment="1" pivotButton="0" quotePrefix="0" xfId="0">
      <alignment horizontal="center" vertical="center"/>
    </xf>
    <xf numFmtId="0" fontId="28" fillId="0" borderId="15" applyAlignment="1" pivotButton="0" quotePrefix="0" xfId="0">
      <alignment horizontal="left" vertical="center"/>
    </xf>
    <xf numFmtId="165" fontId="30" fillId="0" borderId="15" applyAlignment="1" pivotButton="0" quotePrefix="0" xfId="0">
      <alignment horizontal="center" vertical="center"/>
    </xf>
    <xf numFmtId="0" fontId="28" fillId="13" borderId="15" applyAlignment="1" pivotButton="0" quotePrefix="0" xfId="0">
      <alignment horizontal="left" vertical="center"/>
    </xf>
    <xf numFmtId="0" fontId="22" fillId="10" borderId="15" applyAlignment="1" pivotButton="0" quotePrefix="0" xfId="0">
      <alignment horizontal="center" vertical="center"/>
    </xf>
    <xf numFmtId="165" fontId="30" fillId="10" borderId="1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164" fontId="7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0" pivotButton="0" quotePrefix="0" xfId="0"/>
    <xf numFmtId="164" fontId="7" fillId="6" borderId="1" applyAlignment="1" pivotButton="0" quotePrefix="0" xfId="0">
      <alignment horizontal="center" vertical="center"/>
    </xf>
    <xf numFmtId="164" fontId="13" fillId="0" borderId="0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4" fontId="13" fillId="6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</cellXfs>
  <cellStyles count="1">
    <cellStyle name="RowLevel_8" xfId="0" builtin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7"/>
  <sheetViews>
    <sheetView showGridLines="0" workbookViewId="0">
      <selection activeCell="A1" sqref="A1"/>
    </sheetView>
  </sheetViews>
  <sheetFormatPr baseColWidth="8" defaultRowHeight="15"/>
  <cols>
    <col width="8" customWidth="1" style="69" min="1" max="1"/>
    <col width="6" customWidth="1" style="69" min="2" max="2"/>
    <col width="6" customWidth="1" style="69" min="3" max="3"/>
    <col width="6" customWidth="1" style="69" min="4" max="4"/>
    <col width="6" customWidth="1" style="69" min="5" max="5"/>
    <col width="6" customWidth="1" style="69" min="6" max="6"/>
    <col width="8" customWidth="1" style="69" min="7" max="7"/>
    <col width="6" customWidth="1" style="69" min="8" max="8"/>
    <col width="6" customWidth="1" style="69" min="9" max="9"/>
    <col width="6" customWidth="1" style="69" min="10" max="10"/>
    <col width="6" customWidth="1" style="69" min="11" max="11"/>
    <col width="6" customWidth="1" style="69" min="12" max="12"/>
    <col width="8" customWidth="1" style="69" min="13" max="13"/>
    <col width="6" customWidth="1" style="69" min="14" max="14"/>
    <col width="6" customWidth="1" style="69" min="15" max="15"/>
    <col width="6" customWidth="1" style="69" min="16" max="16"/>
    <col width="6" customWidth="1" style="69" min="17" max="17"/>
    <col width="6" customWidth="1" style="69" min="18" max="18"/>
  </cols>
  <sheetData>
    <row r="1" ht="22" customHeight="1" s="69">
      <c r="A1" s="70" t="inlineStr">
        <is>
          <t>라인별 표준 소요인원 · CAPA 검증 — AP 제공 원본 기준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1" t="n"/>
    </row>
    <row r="2" ht="12" customHeight="1" s="69">
      <c r="A2" s="72" t="inlineStr">
        <is>
          <t>출처: AP 제공 '라인별 표준 필요 인원 / 현재 가용 인원 / CAPA' 4개 시트(HnB·튜브·염모제·치약)  ·  원본 시트는 변경 없이 그대로 보존  |  2026.09.02</t>
        </is>
      </c>
      <c r="B2" s="73" t="n"/>
      <c r="C2" s="73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</row>
    <row r="3" ht="14" customHeight="1" s="69">
      <c r="A3" s="74" t="inlineStr">
        <is>
          <t>① 제품군별 소요 인원 — OP 부족 13명 · 작업자 부족 63명</t>
        </is>
      </c>
      <c r="B3" s="75" t="n"/>
      <c r="C3" s="75" t="n"/>
      <c r="D3" s="75" t="n"/>
      <c r="E3" s="75" t="n"/>
      <c r="F3" s="75" t="n"/>
      <c r="G3" s="75" t="n"/>
      <c r="H3" s="75" t="n"/>
      <c r="I3" s="75" t="n"/>
      <c r="J3" s="75" t="n"/>
      <c r="K3" s="75" t="n"/>
      <c r="L3" s="75" t="n"/>
      <c r="M3" s="75" t="n"/>
      <c r="N3" s="75" t="n"/>
      <c r="O3" s="75" t="n"/>
      <c r="P3" s="75" t="n"/>
      <c r="Q3" s="75" t="n"/>
      <c r="R3" s="75" t="n"/>
    </row>
    <row r="4" ht="15" customHeight="1" s="69">
      <c r="A4" s="76" t="inlineStr">
        <is>
          <t>제품군</t>
        </is>
      </c>
      <c r="B4" s="77" t="n"/>
      <c r="C4" s="76" t="inlineStr">
        <is>
          <t>라인</t>
        </is>
      </c>
      <c r="D4" s="76" t="inlineStr">
        <is>
          <t>필요 OP</t>
        </is>
      </c>
      <c r="E4" s="77" t="n"/>
      <c r="F4" s="76" t="inlineStr">
        <is>
          <t>가용 OP</t>
        </is>
      </c>
      <c r="G4" s="77" t="n"/>
      <c r="H4" s="76" t="inlineStr">
        <is>
          <t>부족 OP</t>
        </is>
      </c>
      <c r="I4" s="77" t="n"/>
      <c r="J4" s="76" t="inlineStr">
        <is>
          <t>필요 작업자</t>
        </is>
      </c>
      <c r="K4" s="77" t="n"/>
      <c r="L4" s="76" t="inlineStr">
        <is>
          <t>가용</t>
        </is>
      </c>
      <c r="M4" s="76" t="inlineStr">
        <is>
          <t>부족 작업자</t>
        </is>
      </c>
      <c r="N4" s="77" t="n"/>
      <c r="O4" s="76" t="inlineStr">
        <is>
          <t>일 CAPA(정상)</t>
        </is>
      </c>
      <c r="P4" s="77" t="n"/>
      <c r="Q4" s="76" t="inlineStr">
        <is>
          <t>주5일 CAPA(정상)</t>
        </is>
      </c>
      <c r="R4" s="77" t="n"/>
    </row>
    <row r="5" ht="13" customHeight="1" s="69">
      <c r="A5" s="78" t="inlineStr">
        <is>
          <t>HnB</t>
        </is>
      </c>
      <c r="B5" s="79" t="n"/>
      <c r="C5" s="80" t="n">
        <v>32</v>
      </c>
      <c r="D5" s="81" t="n">
        <v>31</v>
      </c>
      <c r="E5" s="73" t="n"/>
      <c r="F5" s="81" t="n">
        <v>28</v>
      </c>
      <c r="G5" s="73" t="n"/>
      <c r="H5" s="82" t="n">
        <v>3</v>
      </c>
      <c r="I5" s="83" t="n"/>
      <c r="J5" s="80" t="n">
        <v>77</v>
      </c>
      <c r="K5" s="73" t="n"/>
      <c r="L5" s="80" t="n">
        <v>46</v>
      </c>
      <c r="M5" s="84" t="n">
        <v>31</v>
      </c>
      <c r="N5" s="73" t="n"/>
      <c r="O5" s="85" t="n">
        <v>541800</v>
      </c>
      <c r="P5" s="73" t="n"/>
      <c r="Q5" s="85" t="n">
        <v>2709000</v>
      </c>
      <c r="R5" s="73" t="n"/>
    </row>
    <row r="6" ht="13" customHeight="1" s="69">
      <c r="A6" s="78" t="inlineStr">
        <is>
          <t>튜브</t>
        </is>
      </c>
      <c r="B6" s="79" t="n"/>
      <c r="C6" s="80" t="n">
        <v>8</v>
      </c>
      <c r="D6" s="81" t="n">
        <v>7</v>
      </c>
      <c r="E6" s="73" t="n"/>
      <c r="F6" s="81" t="n">
        <v>7</v>
      </c>
      <c r="G6" s="73" t="n"/>
      <c r="H6" s="86" t="n">
        <v>0</v>
      </c>
      <c r="I6" s="87" t="n"/>
      <c r="J6" s="80" t="n">
        <v>2</v>
      </c>
      <c r="K6" s="73" t="n"/>
      <c r="L6" s="80" t="n">
        <v>2</v>
      </c>
      <c r="M6" s="88" t="n">
        <v>0</v>
      </c>
      <c r="N6" s="73" t="n"/>
      <c r="O6" s="85" t="n">
        <v>151200</v>
      </c>
      <c r="P6" s="73" t="n"/>
      <c r="Q6" s="85" t="n">
        <v>756000</v>
      </c>
      <c r="R6" s="73" t="n"/>
    </row>
    <row r="7" ht="13" customHeight="1" s="69">
      <c r="A7" s="78" t="inlineStr">
        <is>
          <t>염모제</t>
        </is>
      </c>
      <c r="B7" s="79" t="n"/>
      <c r="C7" s="80" t="n">
        <v>21</v>
      </c>
      <c r="D7" s="81" t="n">
        <v>19</v>
      </c>
      <c r="E7" s="73" t="n"/>
      <c r="F7" s="81" t="n">
        <v>14</v>
      </c>
      <c r="G7" s="73" t="n"/>
      <c r="H7" s="89" t="n">
        <v>5</v>
      </c>
      <c r="I7" s="90" t="n"/>
      <c r="J7" s="80" t="n">
        <v>27</v>
      </c>
      <c r="K7" s="73" t="n"/>
      <c r="L7" s="80" t="n">
        <v>5</v>
      </c>
      <c r="M7" s="84" t="n">
        <v>22</v>
      </c>
      <c r="N7" s="73" t="n"/>
      <c r="O7" s="85" t="n">
        <v>228600</v>
      </c>
      <c r="P7" s="73" t="n"/>
      <c r="Q7" s="85" t="n">
        <v>1143000</v>
      </c>
      <c r="R7" s="73" t="n"/>
    </row>
    <row r="8" ht="13" customHeight="1" s="69">
      <c r="A8" s="78" t="inlineStr">
        <is>
          <t>치약</t>
        </is>
      </c>
      <c r="B8" s="79" t="n"/>
      <c r="C8" s="80" t="n">
        <v>10</v>
      </c>
      <c r="D8" s="81" t="n">
        <v>10</v>
      </c>
      <c r="E8" s="73" t="n"/>
      <c r="F8" s="81" t="n">
        <v>5</v>
      </c>
      <c r="G8" s="73" t="n"/>
      <c r="H8" s="89" t="n">
        <v>5</v>
      </c>
      <c r="I8" s="90" t="n"/>
      <c r="J8" s="80" t="n">
        <v>15</v>
      </c>
      <c r="K8" s="73" t="n"/>
      <c r="L8" s="80" t="n">
        <v>5</v>
      </c>
      <c r="M8" s="84" t="n">
        <v>10</v>
      </c>
      <c r="N8" s="73" t="n"/>
      <c r="O8" s="85" t="n">
        <v>470250</v>
      </c>
      <c r="P8" s="73" t="n"/>
      <c r="Q8" s="85" t="n">
        <v>2351250</v>
      </c>
      <c r="R8" s="73" t="n"/>
    </row>
    <row r="9" ht="14" customHeight="1" s="69">
      <c r="A9" s="91" t="inlineStr">
        <is>
          <t>계</t>
        </is>
      </c>
      <c r="B9" s="77" t="n"/>
      <c r="C9" s="92" t="n">
        <v>71</v>
      </c>
      <c r="D9" s="93" t="n">
        <v>67</v>
      </c>
      <c r="E9" s="79" t="n"/>
      <c r="F9" s="93" t="n">
        <v>54</v>
      </c>
      <c r="G9" s="79" t="n"/>
      <c r="H9" s="94" t="n">
        <v>13</v>
      </c>
      <c r="I9" s="90" t="n"/>
      <c r="J9" s="92" t="n">
        <v>121</v>
      </c>
      <c r="K9" s="79" t="n"/>
      <c r="L9" s="92" t="n">
        <v>58</v>
      </c>
      <c r="M9" s="95" t="n">
        <v>63</v>
      </c>
      <c r="N9" s="90" t="n"/>
      <c r="O9" s="96" t="n">
        <v>1391850</v>
      </c>
      <c r="P9" s="79" t="n"/>
      <c r="Q9" s="96" t="n">
        <v>6959250</v>
      </c>
      <c r="R9" s="79" t="n"/>
    </row>
    <row r="10" ht="20" customHeight="1" s="69">
      <c r="A10" s="97" t="inlineStr">
        <is>
          <t>※ 염모제 시트에 동일 라인 3쌍(직구성 1·3·5호)이 중복 기재되어 있다. 중복 제거 시 필요 OP 64.5 · 가용 51.5로 줄지만 부족은 13명으로 동일하다. CAPA는 중복분 42,750 EA/일(염모 19%)이 과대 계상되어 있다. CAPA 계는 전 라인 동시 100% 가동을 가정한 이론 상한이므로 총량 비교용으로는 쓸 수 없다.</t>
        </is>
      </c>
      <c r="B10" s="73" t="n"/>
      <c r="C10" s="73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73" t="n"/>
      <c r="Q10" s="73" t="n"/>
      <c r="R10" s="73" t="n"/>
    </row>
    <row r="11" s="69"/>
    <row r="12" ht="14" customHeight="1" s="69">
      <c r="A12" s="98" t="inlineStr">
        <is>
          <t>② 핵심 판정</t>
        </is>
      </c>
      <c r="B12" s="99" t="n"/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  <c r="M12" s="99" t="n"/>
      <c r="N12" s="99" t="n"/>
      <c r="O12" s="99" t="n"/>
      <c r="P12" s="99" t="n"/>
      <c r="Q12" s="99" t="n"/>
      <c r="R12" s="99" t="n"/>
    </row>
    <row r="13" ht="26" customHeight="1" s="69">
      <c r="A13" s="100" t="inlineStr">
        <is>
          <t>▶ 라인 표준 기준으로 산출한 OP 부족은 13명이다. 이는 AP가 38주 Gap 대응전략에서 제시한 '최대안 필요 13명'과 정확히 일치하며, 09/01 제출한 충원 6명(= AP 최소안)으로는 라인 표준을 충족할 수 없음을 원청 자료 자체가 뒷받침한다.</t>
        </is>
      </c>
      <c r="B13" s="90" t="n"/>
      <c r="C13" s="90" t="n"/>
      <c r="D13" s="90" t="n"/>
      <c r="E13" s="90" t="n"/>
      <c r="F13" s="90" t="n"/>
      <c r="G13" s="90" t="n"/>
      <c r="H13" s="90" t="n"/>
      <c r="I13" s="90" t="n"/>
      <c r="J13" s="90" t="n"/>
      <c r="K13" s="90" t="n"/>
      <c r="L13" s="90" t="n"/>
      <c r="M13" s="90" t="n"/>
      <c r="N13" s="90" t="n"/>
      <c r="O13" s="90" t="n"/>
      <c r="P13" s="90" t="n"/>
      <c r="Q13" s="90" t="n"/>
      <c r="R13" s="90" t="n"/>
    </row>
    <row r="14" ht="24" customHeight="1" s="69">
      <c r="A14" s="101" t="inlineStr">
        <is>
          <t>▶ 작업자(비 OP)는 63명 부족으로 OP보다 훨씬 크다. HnB 31명 · 염모제 22명 · 치약 10명. 이 구간은 일용/일용외로 메우는 영역이며, AP가 요구한 '비정규 일용·일용외 구분'과 직접 연결되는 숫자다.</t>
        </is>
      </c>
      <c r="B14" s="83" t="n"/>
      <c r="C14" s="83" t="n"/>
      <c r="D14" s="83" t="n"/>
      <c r="E14" s="83" t="n"/>
      <c r="F14" s="83" t="n"/>
      <c r="G14" s="83" t="n"/>
      <c r="H14" s="83" t="n"/>
      <c r="I14" s="83" t="n"/>
      <c r="J14" s="83" t="n"/>
      <c r="K14" s="83" t="n"/>
      <c r="L14" s="83" t="n"/>
      <c r="M14" s="83" t="n"/>
      <c r="N14" s="83" t="n"/>
      <c r="O14" s="83" t="n"/>
      <c r="P14" s="83" t="n"/>
      <c r="Q14" s="83" t="n"/>
      <c r="R14" s="83" t="n"/>
    </row>
    <row r="15" ht="20" customHeight="1" s="69">
      <c r="A15" s="102" t="inlineStr">
        <is>
          <t>▶ 튜브는 필요 7 · 가용 7로 OP 부족이 없다. 8/27 제기된 튜브 GAP은 인원 부족이 아니라 가동 대수·잔업 편성의 문제임을 이 표가 다시 확인해 준다. (9호기는 설비 미가동)</t>
        </is>
      </c>
      <c r="B15" s="87" t="n"/>
      <c r="C15" s="87" t="n"/>
      <c r="D15" s="87" t="n"/>
      <c r="E15" s="87" t="n"/>
      <c r="F15" s="87" t="n"/>
      <c r="G15" s="87" t="n"/>
      <c r="H15" s="87" t="n"/>
      <c r="I15" s="87" t="n"/>
      <c r="J15" s="87" t="n"/>
      <c r="K15" s="87" t="n"/>
      <c r="L15" s="87" t="n"/>
      <c r="M15" s="87" t="n"/>
      <c r="N15" s="87" t="n"/>
      <c r="O15" s="87" t="n"/>
      <c r="P15" s="87" t="n"/>
      <c r="Q15" s="87" t="n"/>
      <c r="R15" s="87" t="n"/>
    </row>
    <row r="16" s="69"/>
    <row r="17" ht="14" customHeight="1" s="69">
      <c r="A17" s="74" t="inlineStr">
        <is>
          <t>③ 즉시 결원 라인 — 표준상 OP가 필요한데 현재 가용 OP 0인 라인 13개</t>
        </is>
      </c>
      <c r="B17" s="75" t="n"/>
      <c r="C17" s="75" t="n"/>
      <c r="D17" s="75" t="n"/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</row>
    <row r="18" ht="12.5" customHeight="1" s="69">
      <c r="A18" s="103" t="inlineStr">
        <is>
          <t>HnB</t>
        </is>
      </c>
      <c r="B18" s="104" t="inlineStr">
        <is>
          <t>대용량 충전</t>
        </is>
      </c>
      <c r="C18" s="79" t="n"/>
      <c r="D18" s="79" t="n"/>
      <c r="E18" s="105" t="inlineStr">
        <is>
          <t>작업자 2 · 7/분</t>
        </is>
      </c>
      <c r="F18" s="83" t="n"/>
      <c r="G18" s="103" t="inlineStr">
        <is>
          <t>HnB</t>
        </is>
      </c>
      <c r="H18" s="104" t="inlineStr">
        <is>
          <t>팜플3호</t>
        </is>
      </c>
      <c r="I18" s="79" t="n"/>
      <c r="J18" s="79" t="n"/>
      <c r="K18" s="105" t="inlineStr">
        <is>
          <t>작업자 0 · 110/분</t>
        </is>
      </c>
      <c r="L18" s="83" t="n"/>
      <c r="M18" s="103" t="inlineStr">
        <is>
          <t>HnB</t>
        </is>
      </c>
      <c r="N18" s="104" t="inlineStr">
        <is>
          <t>턴테이블4호</t>
        </is>
      </c>
      <c r="O18" s="79" t="n"/>
      <c r="P18" s="79" t="n"/>
      <c r="Q18" s="105" t="inlineStr">
        <is>
          <t>작업자 1 · 32/분</t>
        </is>
      </c>
      <c r="R18" s="83" t="n"/>
    </row>
    <row r="19" ht="12.5" customHeight="1" s="69">
      <c r="A19" s="103" t="inlineStr">
        <is>
          <t>염모제</t>
        </is>
      </c>
      <c r="B19" s="104" t="inlineStr">
        <is>
          <t>염모제 직구성2호</t>
        </is>
      </c>
      <c r="C19" s="79" t="n"/>
      <c r="D19" s="79" t="n"/>
      <c r="E19" s="106" t="inlineStr">
        <is>
          <t>작업자 4 · CAPA 미기재</t>
        </is>
      </c>
      <c r="F19" s="90" t="n"/>
      <c r="G19" s="103" t="inlineStr">
        <is>
          <t>염모제</t>
        </is>
      </c>
      <c r="H19" s="104" t="inlineStr">
        <is>
          <t>염모제 직구성3호(염모충전3호 산화충5)</t>
        </is>
      </c>
      <c r="I19" s="79" t="n"/>
      <c r="J19" s="79" t="n"/>
      <c r="K19" s="105" t="inlineStr">
        <is>
          <t>작업자 4 · 25/분</t>
        </is>
      </c>
      <c r="L19" s="83" t="n"/>
      <c r="M19" s="103" t="inlineStr">
        <is>
          <t>염모제</t>
        </is>
      </c>
      <c r="N19" s="104" t="inlineStr">
        <is>
          <t>염모제 파우치2호</t>
        </is>
      </c>
      <c r="O19" s="79" t="n"/>
      <c r="P19" s="79" t="n"/>
      <c r="Q19" s="106" t="inlineStr">
        <is>
          <t>작업자 0 · CAPA 미기재</t>
        </is>
      </c>
      <c r="R19" s="90" t="n"/>
    </row>
    <row r="20" ht="12.5" customHeight="1" s="69">
      <c r="A20" s="103" t="inlineStr">
        <is>
          <t>염모제</t>
        </is>
      </c>
      <c r="B20" s="104" t="inlineStr">
        <is>
          <t>산화제 충전7호</t>
        </is>
      </c>
      <c r="C20" s="79" t="n"/>
      <c r="D20" s="79" t="n"/>
      <c r="E20" s="106" t="inlineStr">
        <is>
          <t>작업자 1 · CAPA 미기재</t>
        </is>
      </c>
      <c r="F20" s="90" t="n"/>
      <c r="G20" s="103" t="inlineStr">
        <is>
          <t>염모제</t>
        </is>
      </c>
      <c r="H20" s="104" t="inlineStr">
        <is>
          <t>염모제 기획</t>
        </is>
      </c>
      <c r="I20" s="79" t="n"/>
      <c r="J20" s="79" t="n"/>
      <c r="K20" s="106" t="inlineStr">
        <is>
          <t>작업자 10 · CAPA 미기재</t>
        </is>
      </c>
      <c r="L20" s="90" t="n"/>
      <c r="M20" s="103" t="inlineStr">
        <is>
          <t>치약</t>
        </is>
      </c>
      <c r="N20" s="104" t="inlineStr">
        <is>
          <t>치약충전2호</t>
        </is>
      </c>
      <c r="O20" s="79" t="n"/>
      <c r="P20" s="79" t="n"/>
      <c r="Q20" s="105" t="inlineStr">
        <is>
          <t>작업자 2 · 150/분</t>
        </is>
      </c>
      <c r="R20" s="83" t="n"/>
    </row>
    <row r="21" ht="12.5" customHeight="1" s="69">
      <c r="A21" s="103" t="inlineStr">
        <is>
          <t>치약</t>
        </is>
      </c>
      <c r="B21" s="104" t="inlineStr">
        <is>
          <t>치약충전3호</t>
        </is>
      </c>
      <c r="C21" s="79" t="n"/>
      <c r="D21" s="79" t="n"/>
      <c r="E21" s="105" t="inlineStr">
        <is>
          <t>작업자 2 · 150/분</t>
        </is>
      </c>
      <c r="F21" s="83" t="n"/>
      <c r="G21" s="103" t="inlineStr">
        <is>
          <t>치약</t>
        </is>
      </c>
      <c r="H21" s="104" t="inlineStr">
        <is>
          <t>치약수축2호</t>
        </is>
      </c>
      <c r="I21" s="79" t="n"/>
      <c r="J21" s="79" t="n"/>
      <c r="K21" s="105" t="inlineStr">
        <is>
          <t>작업자 0 · 50/분</t>
        </is>
      </c>
      <c r="L21" s="83" t="n"/>
      <c r="M21" s="103" t="inlineStr">
        <is>
          <t>치약</t>
        </is>
      </c>
      <c r="N21" s="104" t="inlineStr">
        <is>
          <t>치약기획</t>
        </is>
      </c>
      <c r="O21" s="79" t="n"/>
      <c r="P21" s="79" t="n"/>
      <c r="Q21" s="105" t="inlineStr">
        <is>
          <t>작업자 4 · 10/분</t>
        </is>
      </c>
      <c r="R21" s="83" t="n"/>
    </row>
    <row r="22" ht="12.5" customHeight="1" s="69">
      <c r="A22" s="103" t="inlineStr">
        <is>
          <t>치약</t>
        </is>
      </c>
      <c r="B22" s="104" t="inlineStr">
        <is>
          <t>일회용 치약충전</t>
        </is>
      </c>
      <c r="C22" s="79" t="n"/>
      <c r="D22" s="79" t="n"/>
      <c r="E22" s="105" t="inlineStr">
        <is>
          <t>작업자 1 · 220/분</t>
        </is>
      </c>
      <c r="F22" s="83" t="n"/>
    </row>
    <row r="23" ht="14" customHeight="1" s="69">
      <c r="A23" s="97" t="inlineStr">
        <is>
          <t>※ 이 13개 라인은 오더가 걸리는 즉시 OP를 다른 라인에서 빼와야 가동된다. '대용량 충전'은 가용 OP가 숫자가 아니라 '중복가능'으로 기재되어 있어 겸직 전제이며, 실제 부족 여부 확인이 필요하다.</t>
        </is>
      </c>
      <c r="B23" s="73" t="n"/>
      <c r="C23" s="73" t="n"/>
      <c r="D23" s="73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</row>
    <row r="24" s="69"/>
    <row r="25" ht="14" customHeight="1" s="69">
      <c r="A25" s="107" t="inlineStr">
        <is>
          <t>④ 38주 Gap 대응전략 산식과의 대조</t>
        </is>
      </c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  <c r="N25" s="71" t="n"/>
      <c r="O25" s="71" t="n"/>
      <c r="P25" s="71" t="n"/>
      <c r="Q25" s="71" t="n"/>
      <c r="R25" s="71" t="n"/>
    </row>
    <row r="26" ht="15" customHeight="1" s="69">
      <c r="A26" s="76" t="inlineStr">
        <is>
          <t>항목</t>
        </is>
      </c>
      <c r="B26" s="77" t="n"/>
      <c r="C26" s="77" t="n"/>
      <c r="D26" s="76" t="inlineStr">
        <is>
          <t>AP 산식</t>
        </is>
      </c>
      <c r="E26" s="77" t="n"/>
      <c r="F26" s="76" t="inlineStr">
        <is>
          <t>본 파일</t>
        </is>
      </c>
      <c r="G26" s="77" t="n"/>
      <c r="H26" s="76" t="inlineStr">
        <is>
          <t>판정</t>
        </is>
      </c>
      <c r="I26" s="77" t="n"/>
      <c r="J26" s="77" t="n"/>
      <c r="K26" s="77" t="n"/>
      <c r="L26" s="77" t="n"/>
      <c r="M26" s="77" t="n"/>
      <c r="N26" s="77" t="n"/>
      <c r="O26" s="77" t="n"/>
      <c r="P26" s="77" t="n"/>
      <c r="Q26" s="77" t="n"/>
      <c r="R26" s="77" t="n"/>
    </row>
    <row r="27" ht="13" customHeight="1" s="69">
      <c r="A27" s="108" t="inlineStr">
        <is>
          <t>세정 분당 CAPA</t>
        </is>
      </c>
      <c r="B27" s="79" t="n"/>
      <c r="C27" s="79" t="n"/>
      <c r="D27" s="109" t="inlineStr">
        <is>
          <t>36개/분</t>
        </is>
      </c>
      <c r="E27" s="73" t="n"/>
      <c r="F27" s="110" t="inlineStr">
        <is>
          <t>36개/분</t>
        </is>
      </c>
      <c r="G27" s="73" t="n"/>
      <c r="H27" s="111" t="inlineStr">
        <is>
          <t>일치 — 세정 1안 172,800 EA(36×60×8H×5일×2) 검증됨</t>
        </is>
      </c>
      <c r="I27" s="87" t="n"/>
      <c r="J27" s="87" t="n"/>
      <c r="K27" s="87" t="n"/>
      <c r="L27" s="87" t="n"/>
      <c r="M27" s="87" t="n"/>
      <c r="N27" s="87" t="n"/>
      <c r="O27" s="87" t="n"/>
      <c r="P27" s="87" t="n"/>
      <c r="Q27" s="87" t="n"/>
      <c r="R27" s="87" t="n"/>
    </row>
    <row r="28" ht="13" customHeight="1" s="69">
      <c r="A28" s="108" t="inlineStr">
        <is>
          <t>멀티 분당 CAPA</t>
        </is>
      </c>
      <c r="B28" s="79" t="n"/>
      <c r="C28" s="79" t="n"/>
      <c r="D28" s="109" t="inlineStr">
        <is>
          <t>32개/분</t>
        </is>
      </c>
      <c r="E28" s="73" t="n"/>
      <c r="F28" s="110" t="inlineStr">
        <is>
          <t>35개/분</t>
        </is>
      </c>
      <c r="G28" s="73" t="n"/>
      <c r="H28" s="112" t="inlineStr">
        <is>
          <t>불일치 — 35 적용 시 멀티 2안이 105,600 → 115,500 EA(+9,900)로 상향</t>
        </is>
      </c>
      <c r="I28" s="83" t="n"/>
      <c r="J28" s="83" t="n"/>
      <c r="K28" s="83" t="n"/>
      <c r="L28" s="83" t="n"/>
      <c r="M28" s="83" t="n"/>
      <c r="N28" s="83" t="n"/>
      <c r="O28" s="83" t="n"/>
      <c r="P28" s="83" t="n"/>
      <c r="Q28" s="83" t="n"/>
      <c r="R28" s="83" t="n"/>
    </row>
    <row r="29" ht="13" customHeight="1" s="69">
      <c r="A29" s="108" t="inlineStr">
        <is>
          <t>튜브 분당 CAPA</t>
        </is>
      </c>
      <c r="B29" s="79" t="n"/>
      <c r="C29" s="79" t="n"/>
      <c r="D29" s="109" t="inlineStr">
        <is>
          <t>미제시</t>
        </is>
      </c>
      <c r="E29" s="73" t="n"/>
      <c r="F29" s="110" t="inlineStr">
        <is>
          <t>45~54개/분</t>
        </is>
      </c>
      <c r="G29" s="73" t="n"/>
      <c r="H29" s="113" t="inlineStr">
        <is>
          <t>튜브 LOSS 산정에 쓰던 350개/H는 실제(2,700~3,240개/H)의 1/8 수준 — 금액 전면 재산출 필요</t>
        </is>
      </c>
      <c r="I29" s="90" t="n"/>
      <c r="J29" s="90" t="n"/>
      <c r="K29" s="90" t="n"/>
      <c r="L29" s="90" t="n"/>
      <c r="M29" s="90" t="n"/>
      <c r="N29" s="90" t="n"/>
      <c r="O29" s="90" t="n"/>
      <c r="P29" s="90" t="n"/>
      <c r="Q29" s="90" t="n"/>
      <c r="R29" s="90" t="n"/>
    </row>
    <row r="30" ht="13" customHeight="1" s="69">
      <c r="A30" s="108" t="inlineStr">
        <is>
          <t>최대안 필요 인원</t>
        </is>
      </c>
      <c r="B30" s="79" t="n"/>
      <c r="C30" s="79" t="n"/>
      <c r="D30" s="109" t="inlineStr">
        <is>
          <t>13명</t>
        </is>
      </c>
      <c r="E30" s="73" t="n"/>
      <c r="F30" s="110" t="inlineStr">
        <is>
          <t>13명</t>
        </is>
      </c>
      <c r="G30" s="73" t="n"/>
      <c r="H30" s="111" t="inlineStr">
        <is>
          <t>일치 — 라인 표준 소요와 Gap 역산이 같은 값으로 수렴</t>
        </is>
      </c>
      <c r="I30" s="87" t="n"/>
      <c r="J30" s="87" t="n"/>
      <c r="K30" s="87" t="n"/>
      <c r="L30" s="87" t="n"/>
      <c r="M30" s="87" t="n"/>
      <c r="N30" s="87" t="n"/>
      <c r="O30" s="87" t="n"/>
      <c r="P30" s="87" t="n"/>
      <c r="Q30" s="87" t="n"/>
      <c r="R30" s="87" t="n"/>
    </row>
    <row r="31" s="69"/>
    <row r="32" ht="14" customHeight="1" s="69">
      <c r="A32" s="74" t="inlineStr">
        <is>
          <t>⑤ 원본 데이터 확인 요청 사항</t>
        </is>
      </c>
      <c r="B32" s="75" t="n"/>
      <c r="C32" s="75" t="n"/>
      <c r="D32" s="75" t="n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</row>
    <row r="33" ht="18" customHeight="1" s="69">
      <c r="A33" s="114" t="inlineStr">
        <is>
          <t>염모제 시트에 동일 라인 3쌍이 중복 기재되어 있다 — 직구성 1호(28·31행) · 3호(29·33행) · 5호(30·34행). 각 쌍의 가용 OP가 서로 달라(1 vs 0 등) 어느 행이 현재 값인지 확인이 필요하다.</t>
        </is>
      </c>
      <c r="B33" s="73" t="n"/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</row>
    <row r="34" ht="18" customHeight="1" s="69">
      <c r="A34" s="114" t="inlineStr">
        <is>
          <t>분당 CAPA가 비어 있는 라인이 9개다 — 손소독제, 팜플 2·6·7호(FNC), 튜브9호(초음파), 염모제 직구성2호·파우치2호·파우치5호, 산화제 충전7호, 염모제 기획. 이 중 염모제 직구성2호·산화제 충전7호는 OP 결원 라인이라 Gap 산정에서 누락될 수 있다.</t>
        </is>
      </c>
      <c r="B34" s="73" t="n"/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</row>
    <row r="35" ht="18" customHeight="1" s="69">
      <c r="A35" s="114" t="inlineStr">
        <is>
          <t>염모제 시트 상단 블록(4~24행)은 라인명만 있고 인원·CAPA가 전부 비어 있다. 합계식은 하단(28~48행)만 참조하므로 계산에는 영향이 없으나, 열람자가 상단을 실제 현황으로 오독할 수 있다.</t>
        </is>
      </c>
      <c r="B35" s="73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</row>
    <row r="36" ht="18" customHeight="1" s="69">
      <c r="A36" s="114" t="inlineStr">
        <is>
          <t>'대용량 충전'의 가용 OP가 문자 '중복가능'으로 입력되어 있어 I열 수식 대신 0이 하드코딩되어 있다. 겸직 라인은 별도 표기 규칙을 정하는 편이 낫다.</t>
        </is>
      </c>
      <c r="B36" s="73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</row>
    <row r="37" ht="18" customHeight="1" s="69">
      <c r="A37" s="114" t="inlineStr">
        <is>
          <t>CAPA 정상 450분 · 잔업 570분 기준이 전 시트 공통으로 하드코딩되어 있다. 잔업 2H 기준이 맞는지, 라인별 실가동률(비가동·품목교체 시간)을 반영하는지 확인이 필요하다.</t>
        </is>
      </c>
      <c r="B37" s="73" t="n"/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</row>
  </sheetData>
  <mergeCells count="136">
    <mergeCell ref="O7:P7"/>
    <mergeCell ref="Q7:R7"/>
    <mergeCell ref="L9"/>
    <mergeCell ref="H26:R26"/>
    <mergeCell ref="Q21:R21"/>
    <mergeCell ref="F29:G29"/>
    <mergeCell ref="C7"/>
    <mergeCell ref="O6:P6"/>
    <mergeCell ref="A26:C26"/>
    <mergeCell ref="H9:I9"/>
    <mergeCell ref="J9:K9"/>
    <mergeCell ref="D6:E6"/>
    <mergeCell ref="N19:P19"/>
    <mergeCell ref="A7:B7"/>
    <mergeCell ref="A2:R2"/>
    <mergeCell ref="A33:R33"/>
    <mergeCell ref="H19:J19"/>
    <mergeCell ref="A17:R17"/>
    <mergeCell ref="B20:D20"/>
    <mergeCell ref="A35:R35"/>
    <mergeCell ref="J4:K4"/>
    <mergeCell ref="D7:E7"/>
    <mergeCell ref="M20"/>
    <mergeCell ref="D4:E4"/>
    <mergeCell ref="Q9:R9"/>
    <mergeCell ref="G19"/>
    <mergeCell ref="M8:N8"/>
    <mergeCell ref="C9"/>
    <mergeCell ref="O8:P8"/>
    <mergeCell ref="L8"/>
    <mergeCell ref="E22:F22"/>
    <mergeCell ref="A9:B9"/>
    <mergeCell ref="D26:E26"/>
    <mergeCell ref="H21:J21"/>
    <mergeCell ref="N18:P18"/>
    <mergeCell ref="F6:G6"/>
    <mergeCell ref="K21:L21"/>
    <mergeCell ref="B19:D19"/>
    <mergeCell ref="F30:G30"/>
    <mergeCell ref="F5:G5"/>
    <mergeCell ref="A29:C29"/>
    <mergeCell ref="M7:N7"/>
    <mergeCell ref="A10:R10"/>
    <mergeCell ref="F28:G28"/>
    <mergeCell ref="N20:P20"/>
    <mergeCell ref="A8:B8"/>
    <mergeCell ref="D9:E9"/>
    <mergeCell ref="L5"/>
    <mergeCell ref="F9:G9"/>
    <mergeCell ref="H28:R28"/>
    <mergeCell ref="H20:J20"/>
    <mergeCell ref="G18"/>
    <mergeCell ref="A34:R34"/>
    <mergeCell ref="A18"/>
    <mergeCell ref="D29:E29"/>
    <mergeCell ref="L4"/>
    <mergeCell ref="A36:R36"/>
    <mergeCell ref="K19:L19"/>
    <mergeCell ref="H5:I5"/>
    <mergeCell ref="A1:R1"/>
    <mergeCell ref="B21:D21"/>
    <mergeCell ref="E18:F18"/>
    <mergeCell ref="N21:P21"/>
    <mergeCell ref="F4:G4"/>
    <mergeCell ref="A22"/>
    <mergeCell ref="G20"/>
    <mergeCell ref="A20"/>
    <mergeCell ref="M9:N9"/>
    <mergeCell ref="M5:N5"/>
    <mergeCell ref="O9:P9"/>
    <mergeCell ref="A37:R37"/>
    <mergeCell ref="M19"/>
    <mergeCell ref="F7:G7"/>
    <mergeCell ref="A12:R12"/>
    <mergeCell ref="E20:F20"/>
    <mergeCell ref="O5:P5"/>
    <mergeCell ref="Q5:R5"/>
    <mergeCell ref="Q20:R20"/>
    <mergeCell ref="D27:E27"/>
    <mergeCell ref="G21"/>
    <mergeCell ref="A32:R32"/>
    <mergeCell ref="A14:R14"/>
    <mergeCell ref="C6"/>
    <mergeCell ref="A23:R23"/>
    <mergeCell ref="O4:P4"/>
    <mergeCell ref="Q4:R4"/>
    <mergeCell ref="F8:G8"/>
    <mergeCell ref="A28:C28"/>
    <mergeCell ref="C4"/>
    <mergeCell ref="H18:J18"/>
    <mergeCell ref="Q6:R6"/>
    <mergeCell ref="A5:B5"/>
    <mergeCell ref="D28:E28"/>
    <mergeCell ref="A30:C30"/>
    <mergeCell ref="A4:B4"/>
    <mergeCell ref="D30:E30"/>
    <mergeCell ref="B22:D22"/>
    <mergeCell ref="D5:E5"/>
    <mergeCell ref="K18:L18"/>
    <mergeCell ref="M18"/>
    <mergeCell ref="H30:R30"/>
    <mergeCell ref="C8"/>
    <mergeCell ref="A25:R25"/>
    <mergeCell ref="J5:K5"/>
    <mergeCell ref="L6"/>
    <mergeCell ref="H29:R29"/>
    <mergeCell ref="A27:C27"/>
    <mergeCell ref="Q18:R18"/>
    <mergeCell ref="H4:I4"/>
    <mergeCell ref="A19"/>
    <mergeCell ref="A6:B6"/>
    <mergeCell ref="Q8:R8"/>
    <mergeCell ref="A3:R3"/>
    <mergeCell ref="K20:L20"/>
    <mergeCell ref="H6:I6"/>
    <mergeCell ref="J6:K6"/>
    <mergeCell ref="E19:F19"/>
    <mergeCell ref="L7"/>
    <mergeCell ref="Q19:R19"/>
    <mergeCell ref="F26:G26"/>
    <mergeCell ref="C5"/>
    <mergeCell ref="M6:N6"/>
    <mergeCell ref="H7:I7"/>
    <mergeCell ref="J7:K7"/>
    <mergeCell ref="A13:R13"/>
    <mergeCell ref="F27:G27"/>
    <mergeCell ref="D8:E8"/>
    <mergeCell ref="H27:R27"/>
    <mergeCell ref="A15:R15"/>
    <mergeCell ref="A21"/>
    <mergeCell ref="B18:D18"/>
    <mergeCell ref="M21"/>
    <mergeCell ref="H8:I8"/>
    <mergeCell ref="J8:K8"/>
    <mergeCell ref="M4:N4"/>
    <mergeCell ref="E21:F21"/>
  </mergeCells>
  <pageMargins left="0.2" right="0.2" top="0.25" bottom="0.2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74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style="69" min="1" max="1"/>
    <col width="9" customWidth="1" style="69" min="2" max="2"/>
    <col width="26" customWidth="1" style="69" min="3" max="3"/>
    <col width="7" customWidth="1" style="69" min="4" max="4"/>
    <col width="8" customWidth="1" style="69" min="5" max="5"/>
    <col width="7" customWidth="1" style="69" min="6" max="6"/>
    <col width="8" customWidth="1" style="69" min="7" max="7"/>
    <col width="7" customWidth="1" style="69" min="8" max="8"/>
    <col width="8" customWidth="1" style="69" min="9" max="9"/>
    <col width="8" customWidth="1" style="69" min="10" max="10"/>
    <col width="11" customWidth="1" style="69" min="11" max="11"/>
    <col width="11" customWidth="1" style="69" min="12" max="12"/>
    <col width="40" customWidth="1" style="69" min="13" max="13"/>
  </cols>
  <sheetData>
    <row r="1" ht="20" customHeight="1" s="69">
      <c r="A1" s="115" t="inlineStr">
        <is>
          <t>라인별 상세 — 표준 소요 · 현재 가용 · 차이 · CAPA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</row>
    <row r="2" ht="24" customHeight="1" s="69">
      <c r="A2" s="116" t="inlineStr">
        <is>
          <t>제품군</t>
        </is>
      </c>
      <c r="B2" s="116" t="inlineStr">
        <is>
          <t>구분</t>
        </is>
      </c>
      <c r="C2" s="116" t="inlineStr">
        <is>
          <t>라인명</t>
        </is>
      </c>
      <c r="D2" s="116" t="inlineStr">
        <is>
          <t>필요 OP</t>
        </is>
      </c>
      <c r="E2" s="116" t="inlineStr">
        <is>
          <t>필요 작업자</t>
        </is>
      </c>
      <c r="F2" s="116" t="inlineStr">
        <is>
          <t>가용 OP</t>
        </is>
      </c>
      <c r="G2" s="116" t="inlineStr">
        <is>
          <t>가용 작업자</t>
        </is>
      </c>
      <c r="H2" s="116" t="inlineStr">
        <is>
          <t>부족 OP</t>
        </is>
      </c>
      <c r="I2" s="116" t="inlineStr">
        <is>
          <t>부족 작업자</t>
        </is>
      </c>
      <c r="J2" s="116" t="inlineStr">
        <is>
          <t>분당 CAPA</t>
        </is>
      </c>
      <c r="K2" s="116" t="inlineStr">
        <is>
          <t>일 정상(450분)</t>
        </is>
      </c>
      <c r="L2" s="116" t="inlineStr">
        <is>
          <t>일 잔업(570분)</t>
        </is>
      </c>
      <c r="M2" s="116" t="inlineStr">
        <is>
          <t>비고 / 확인사항</t>
        </is>
      </c>
    </row>
    <row r="3" ht="12.5" customHeight="1" s="69">
      <c r="A3" s="78" t="inlineStr">
        <is>
          <t>HnB</t>
        </is>
      </c>
      <c r="B3" s="109" t="inlineStr">
        <is>
          <t>직선</t>
        </is>
      </c>
      <c r="C3" s="117" t="inlineStr">
        <is>
          <t>직선4호</t>
        </is>
      </c>
      <c r="D3" s="81" t="n">
        <v>1</v>
      </c>
      <c r="E3" s="80" t="n">
        <v>2</v>
      </c>
      <c r="F3" s="81" t="n">
        <v>1</v>
      </c>
      <c r="G3" s="80" t="n"/>
      <c r="H3" s="81" t="n"/>
      <c r="I3" s="118" t="n">
        <v>2</v>
      </c>
      <c r="J3" s="80" t="n">
        <v>48</v>
      </c>
      <c r="K3" s="85" t="n">
        <v>21600</v>
      </c>
      <c r="L3" s="85" t="n">
        <v>27360</v>
      </c>
      <c r="M3" s="119" t="n"/>
    </row>
    <row r="4" ht="12.5" customHeight="1" s="69">
      <c r="A4" s="78" t="inlineStr">
        <is>
          <t>HnB</t>
        </is>
      </c>
      <c r="B4" s="109" t="inlineStr">
        <is>
          <t>직선</t>
        </is>
      </c>
      <c r="C4" s="117" t="inlineStr">
        <is>
          <t>직선5호</t>
        </is>
      </c>
      <c r="D4" s="81" t="n">
        <v>1</v>
      </c>
      <c r="E4" s="80" t="n">
        <v>5</v>
      </c>
      <c r="F4" s="81" t="n">
        <v>1</v>
      </c>
      <c r="G4" s="80" t="n">
        <v>3</v>
      </c>
      <c r="H4" s="81" t="n"/>
      <c r="I4" s="118" t="n">
        <v>2</v>
      </c>
      <c r="J4" s="80" t="n">
        <v>54</v>
      </c>
      <c r="K4" s="85" t="n">
        <v>24300</v>
      </c>
      <c r="L4" s="85" t="n">
        <v>30780</v>
      </c>
      <c r="M4" s="119" t="inlineStr">
        <is>
          <t>+1</t>
        </is>
      </c>
    </row>
    <row r="5" ht="12.5" customHeight="1" s="69">
      <c r="A5" s="78" t="inlineStr">
        <is>
          <t>HnB</t>
        </is>
      </c>
      <c r="B5" s="109" t="inlineStr">
        <is>
          <t>직선</t>
        </is>
      </c>
      <c r="C5" s="117" t="inlineStr">
        <is>
          <t>직선11호</t>
        </is>
      </c>
      <c r="D5" s="81" t="n">
        <v>1</v>
      </c>
      <c r="E5" s="80" t="n">
        <v>6</v>
      </c>
      <c r="F5" s="81" t="n">
        <v>1</v>
      </c>
      <c r="G5" s="80" t="n">
        <v>3</v>
      </c>
      <c r="H5" s="81" t="n"/>
      <c r="I5" s="118" t="n">
        <v>3</v>
      </c>
      <c r="J5" s="80" t="n">
        <v>36</v>
      </c>
      <c r="K5" s="85" t="n">
        <v>16200</v>
      </c>
      <c r="L5" s="85" t="n">
        <v>20520</v>
      </c>
      <c r="M5" s="119" t="n"/>
    </row>
    <row r="6" ht="12.5" customHeight="1" s="69">
      <c r="A6" s="78" t="inlineStr">
        <is>
          <t>HnB</t>
        </is>
      </c>
      <c r="B6" s="109" t="inlineStr">
        <is>
          <t>직선</t>
        </is>
      </c>
      <c r="C6" s="117" t="inlineStr">
        <is>
          <t>직선13호</t>
        </is>
      </c>
      <c r="D6" s="81" t="n">
        <v>1</v>
      </c>
      <c r="E6" s="80" t="n">
        <v>6</v>
      </c>
      <c r="F6" s="81" t="n">
        <v>1</v>
      </c>
      <c r="G6" s="80" t="n">
        <v>4</v>
      </c>
      <c r="H6" s="81" t="n"/>
      <c r="I6" s="118" t="n">
        <v>2</v>
      </c>
      <c r="J6" s="80" t="n">
        <v>58</v>
      </c>
      <c r="K6" s="85" t="n">
        <v>26100</v>
      </c>
      <c r="L6" s="85" t="n">
        <v>33060</v>
      </c>
      <c r="M6" s="119" t="inlineStr">
        <is>
          <t>+1</t>
        </is>
      </c>
    </row>
    <row r="7" ht="12.5" customHeight="1" s="69">
      <c r="A7" s="78" t="inlineStr">
        <is>
          <t>HnB</t>
        </is>
      </c>
      <c r="B7" s="109" t="inlineStr">
        <is>
          <t>직선</t>
        </is>
      </c>
      <c r="C7" s="117" t="inlineStr">
        <is>
          <t>직선14호</t>
        </is>
      </c>
      <c r="D7" s="81" t="n">
        <v>1</v>
      </c>
      <c r="E7" s="80" t="n">
        <v>6</v>
      </c>
      <c r="F7" s="81" t="n">
        <v>1</v>
      </c>
      <c r="G7" s="80" t="n">
        <v>4</v>
      </c>
      <c r="H7" s="81" t="n"/>
      <c r="I7" s="118" t="n">
        <v>2</v>
      </c>
      <c r="J7" s="80" t="n">
        <v>54</v>
      </c>
      <c r="K7" s="85" t="n">
        <v>24300</v>
      </c>
      <c r="L7" s="85" t="n">
        <v>30780</v>
      </c>
      <c r="M7" s="119" t="inlineStr">
        <is>
          <t>+1</t>
        </is>
      </c>
    </row>
    <row r="8" ht="12.5" customHeight="1" s="69">
      <c r="A8" s="78" t="inlineStr">
        <is>
          <t>HnB</t>
        </is>
      </c>
      <c r="B8" s="109" t="inlineStr">
        <is>
          <t>직선</t>
        </is>
      </c>
      <c r="C8" s="117" t="inlineStr">
        <is>
          <t>직선15호</t>
        </is>
      </c>
      <c r="D8" s="81" t="n">
        <v>1</v>
      </c>
      <c r="E8" s="80" t="n">
        <v>5</v>
      </c>
      <c r="F8" s="81" t="n">
        <v>1</v>
      </c>
      <c r="G8" s="80" t="n">
        <v>3</v>
      </c>
      <c r="H8" s="81" t="n"/>
      <c r="I8" s="118" t="n">
        <v>2</v>
      </c>
      <c r="J8" s="80" t="n">
        <v>40</v>
      </c>
      <c r="K8" s="85" t="n">
        <v>18000</v>
      </c>
      <c r="L8" s="85" t="n">
        <v>22800</v>
      </c>
      <c r="M8" s="119" t="n"/>
    </row>
    <row r="9" ht="12.5" customHeight="1" s="69">
      <c r="A9" s="78" t="inlineStr">
        <is>
          <t>HnB</t>
        </is>
      </c>
      <c r="B9" s="109" t="inlineStr">
        <is>
          <t>직선</t>
        </is>
      </c>
      <c r="C9" s="117" t="inlineStr">
        <is>
          <t>직선16호</t>
        </is>
      </c>
      <c r="D9" s="81" t="n">
        <v>1</v>
      </c>
      <c r="E9" s="80" t="n">
        <v>7</v>
      </c>
      <c r="F9" s="81" t="n">
        <v>1</v>
      </c>
      <c r="G9" s="80" t="n">
        <v>4</v>
      </c>
      <c r="H9" s="81" t="n"/>
      <c r="I9" s="118" t="n">
        <v>3</v>
      </c>
      <c r="J9" s="80" t="n">
        <v>68</v>
      </c>
      <c r="K9" s="85" t="n">
        <v>30600</v>
      </c>
      <c r="L9" s="85" t="n">
        <v>38760</v>
      </c>
      <c r="M9" s="119" t="inlineStr">
        <is>
          <t>+1</t>
        </is>
      </c>
    </row>
    <row r="10" ht="12.5" customHeight="1" s="69">
      <c r="A10" s="78" t="inlineStr">
        <is>
          <t>HnB</t>
        </is>
      </c>
      <c r="B10" s="109" t="inlineStr">
        <is>
          <t>직선</t>
        </is>
      </c>
      <c r="C10" s="117" t="inlineStr">
        <is>
          <t>동기화 직선14호</t>
        </is>
      </c>
      <c r="D10" s="81" t="n">
        <v>0</v>
      </c>
      <c r="E10" s="80" t="n">
        <v>1</v>
      </c>
      <c r="F10" s="81" t="n">
        <v>0</v>
      </c>
      <c r="G10" s="80" t="n"/>
      <c r="H10" s="81" t="n"/>
      <c r="I10" s="118" t="n">
        <v>1</v>
      </c>
      <c r="J10" s="80" t="n">
        <v>50</v>
      </c>
      <c r="K10" s="85" t="n">
        <v>22500</v>
      </c>
      <c r="L10" s="85" t="n">
        <v>28500</v>
      </c>
      <c r="M10" s="119" t="n"/>
    </row>
    <row r="11" ht="12.5" customHeight="1" s="69">
      <c r="A11" s="78" t="inlineStr">
        <is>
          <t>HnB</t>
        </is>
      </c>
      <c r="B11" s="109" t="inlineStr">
        <is>
          <t>직선</t>
        </is>
      </c>
      <c r="C11" s="117" t="inlineStr">
        <is>
          <t>리필3호</t>
        </is>
      </c>
      <c r="D11" s="81" t="n">
        <v>1</v>
      </c>
      <c r="E11" s="80" t="n">
        <v>2</v>
      </c>
      <c r="F11" s="81" t="n">
        <v>1</v>
      </c>
      <c r="G11" s="80" t="n">
        <v>2</v>
      </c>
      <c r="H11" s="81" t="n"/>
      <c r="I11" s="80" t="n"/>
      <c r="J11" s="80" t="n">
        <v>20</v>
      </c>
      <c r="K11" s="85" t="n">
        <v>9000</v>
      </c>
      <c r="L11" s="85" t="n">
        <v>11400</v>
      </c>
      <c r="M11" s="119" t="n"/>
    </row>
    <row r="12" ht="12.5" customHeight="1" s="69">
      <c r="A12" s="78" t="inlineStr">
        <is>
          <t>HnB</t>
        </is>
      </c>
      <c r="B12" s="109" t="inlineStr">
        <is>
          <t>직선</t>
        </is>
      </c>
      <c r="C12" s="113" t="inlineStr">
        <is>
          <t>대용량 충전</t>
        </is>
      </c>
      <c r="D12" s="81" t="n">
        <v>1</v>
      </c>
      <c r="E12" s="80" t="n">
        <v>2</v>
      </c>
      <c r="F12" s="81" t="n">
        <v>0</v>
      </c>
      <c r="G12" s="80" t="n"/>
      <c r="H12" s="120" t="n">
        <v>1</v>
      </c>
      <c r="I12" s="118" t="n">
        <v>2</v>
      </c>
      <c r="J12" s="80" t="n">
        <v>7</v>
      </c>
      <c r="K12" s="85" t="n">
        <v>3150</v>
      </c>
      <c r="L12" s="85" t="n">
        <v>3990</v>
      </c>
      <c r="M12" s="121" t="inlineStr">
        <is>
          <t>가용 OP가 숫자 아님('중복가능')</t>
        </is>
      </c>
    </row>
    <row r="13" ht="12.5" customHeight="1" s="69">
      <c r="A13" s="78" t="inlineStr">
        <is>
          <t>HnB</t>
        </is>
      </c>
      <c r="B13" s="109" t="inlineStr">
        <is>
          <t>초격차</t>
        </is>
      </c>
      <c r="C13" s="117" t="inlineStr">
        <is>
          <t>세정초격차 1호</t>
        </is>
      </c>
      <c r="D13" s="81" t="n">
        <v>2</v>
      </c>
      <c r="E13" s="80" t="n">
        <v>2</v>
      </c>
      <c r="F13" s="81" t="n">
        <v>2</v>
      </c>
      <c r="G13" s="80" t="n">
        <v>2</v>
      </c>
      <c r="H13" s="81" t="n"/>
      <c r="I13" s="80" t="n"/>
      <c r="J13" s="80" t="n">
        <v>36</v>
      </c>
      <c r="K13" s="85" t="n">
        <v>16200</v>
      </c>
      <c r="L13" s="85" t="n">
        <v>20520</v>
      </c>
      <c r="M13" s="119" t="n"/>
    </row>
    <row r="14" ht="12.5" customHeight="1" s="69">
      <c r="A14" s="78" t="inlineStr">
        <is>
          <t>HnB</t>
        </is>
      </c>
      <c r="B14" s="109" t="inlineStr">
        <is>
          <t>초격차</t>
        </is>
      </c>
      <c r="C14" s="117" t="inlineStr">
        <is>
          <t>세정초격차 2호</t>
        </is>
      </c>
      <c r="D14" s="81" t="n">
        <v>2</v>
      </c>
      <c r="E14" s="80" t="n">
        <v>2</v>
      </c>
      <c r="F14" s="81" t="n">
        <v>2</v>
      </c>
      <c r="G14" s="80" t="n">
        <v>2</v>
      </c>
      <c r="H14" s="81" t="n"/>
      <c r="I14" s="80" t="n"/>
      <c r="J14" s="80" t="n">
        <v>36</v>
      </c>
      <c r="K14" s="85" t="n">
        <v>16200</v>
      </c>
      <c r="L14" s="85" t="n">
        <v>20520</v>
      </c>
      <c r="M14" s="119" t="n"/>
    </row>
    <row r="15" ht="12.5" customHeight="1" s="69">
      <c r="A15" s="78" t="inlineStr">
        <is>
          <t>HnB</t>
        </is>
      </c>
      <c r="B15" s="109" t="inlineStr">
        <is>
          <t>초격차</t>
        </is>
      </c>
      <c r="C15" s="117" t="inlineStr">
        <is>
          <t>세정초격차 3호</t>
        </is>
      </c>
      <c r="D15" s="81" t="n">
        <v>2</v>
      </c>
      <c r="E15" s="80" t="n">
        <v>3</v>
      </c>
      <c r="F15" s="81" t="n">
        <v>2</v>
      </c>
      <c r="G15" s="80" t="n">
        <v>3</v>
      </c>
      <c r="H15" s="81" t="n"/>
      <c r="I15" s="80" t="n"/>
      <c r="J15" s="80" t="n">
        <v>36</v>
      </c>
      <c r="K15" s="85" t="n">
        <v>16200</v>
      </c>
      <c r="L15" s="85" t="n">
        <v>20520</v>
      </c>
      <c r="M15" s="119" t="n"/>
    </row>
    <row r="16" ht="12.5" customHeight="1" s="69">
      <c r="A16" s="78" t="inlineStr">
        <is>
          <t>HnB</t>
        </is>
      </c>
      <c r="B16" s="109" t="inlineStr">
        <is>
          <t>초격차</t>
        </is>
      </c>
      <c r="C16" s="117" t="inlineStr">
        <is>
          <t>세정초격차 4호</t>
        </is>
      </c>
      <c r="D16" s="81" t="n">
        <v>2</v>
      </c>
      <c r="E16" s="80" t="n">
        <v>4</v>
      </c>
      <c r="F16" s="81" t="n">
        <v>2</v>
      </c>
      <c r="G16" s="80" t="n">
        <v>4</v>
      </c>
      <c r="H16" s="81" t="n"/>
      <c r="I16" s="80" t="n"/>
      <c r="J16" s="80" t="n">
        <v>36</v>
      </c>
      <c r="K16" s="85" t="n">
        <v>16200</v>
      </c>
      <c r="L16" s="85" t="n">
        <v>20520</v>
      </c>
      <c r="M16" s="119" t="n"/>
    </row>
    <row r="17" ht="12.5" customHeight="1" s="69">
      <c r="A17" s="78" t="inlineStr">
        <is>
          <t>HnB</t>
        </is>
      </c>
      <c r="B17" s="109" t="inlineStr">
        <is>
          <t>멀티</t>
        </is>
      </c>
      <c r="C17" s="117" t="inlineStr">
        <is>
          <t>멀티셀2호</t>
        </is>
      </c>
      <c r="D17" s="81" t="n">
        <v>1</v>
      </c>
      <c r="E17" s="80" t="n">
        <v>1</v>
      </c>
      <c r="F17" s="81" t="n">
        <v>1</v>
      </c>
      <c r="G17" s="80" t="n"/>
      <c r="H17" s="81" t="n"/>
      <c r="I17" s="118" t="n">
        <v>1</v>
      </c>
      <c r="J17" s="80" t="n">
        <v>17</v>
      </c>
      <c r="K17" s="85" t="n">
        <v>7650</v>
      </c>
      <c r="L17" s="85" t="n">
        <v>9690</v>
      </c>
      <c r="M17" s="119" t="n"/>
    </row>
    <row r="18" ht="12.5" customHeight="1" s="69">
      <c r="A18" s="78" t="inlineStr">
        <is>
          <t>HnB</t>
        </is>
      </c>
      <c r="B18" s="109" t="inlineStr">
        <is>
          <t>멀티</t>
        </is>
      </c>
      <c r="C18" s="117" t="inlineStr">
        <is>
          <t>멀티셀3호</t>
        </is>
      </c>
      <c r="D18" s="81" t="n">
        <v>1</v>
      </c>
      <c r="E18" s="80" t="n">
        <v>1</v>
      </c>
      <c r="F18" s="81" t="n">
        <v>1</v>
      </c>
      <c r="G18" s="80" t="n">
        <v>1</v>
      </c>
      <c r="H18" s="81" t="n"/>
      <c r="I18" s="80" t="n"/>
      <c r="J18" s="80" t="n">
        <v>17</v>
      </c>
      <c r="K18" s="85" t="n">
        <v>7650</v>
      </c>
      <c r="L18" s="85" t="n">
        <v>9690</v>
      </c>
      <c r="M18" s="119" t="inlineStr">
        <is>
          <t>+1</t>
        </is>
      </c>
    </row>
    <row r="19" ht="12.5" customHeight="1" s="69">
      <c r="A19" s="78" t="inlineStr">
        <is>
          <t>HnB</t>
        </is>
      </c>
      <c r="B19" s="109" t="inlineStr">
        <is>
          <t>멀티</t>
        </is>
      </c>
      <c r="C19" s="117" t="inlineStr">
        <is>
          <t>멀티셀6호</t>
        </is>
      </c>
      <c r="D19" s="81" t="n">
        <v>1</v>
      </c>
      <c r="E19" s="80" t="n">
        <v>3</v>
      </c>
      <c r="F19" s="81" t="n">
        <v>1</v>
      </c>
      <c r="G19" s="80" t="n">
        <v>2</v>
      </c>
      <c r="H19" s="81" t="n"/>
      <c r="I19" s="118" t="n">
        <v>1</v>
      </c>
      <c r="J19" s="80" t="n">
        <v>35</v>
      </c>
      <c r="K19" s="85" t="n">
        <v>15750</v>
      </c>
      <c r="L19" s="85" t="n">
        <v>19950</v>
      </c>
      <c r="M19" s="119" t="n"/>
    </row>
    <row r="20" ht="12.5" customHeight="1" s="69">
      <c r="A20" s="78" t="inlineStr">
        <is>
          <t>HnB</t>
        </is>
      </c>
      <c r="B20" s="109" t="inlineStr">
        <is>
          <t>멀티</t>
        </is>
      </c>
      <c r="C20" s="117" t="inlineStr">
        <is>
          <t>멀티셀7호</t>
        </is>
      </c>
      <c r="D20" s="81" t="n">
        <v>1</v>
      </c>
      <c r="E20" s="80" t="n">
        <v>3</v>
      </c>
      <c r="F20" s="81" t="n">
        <v>1</v>
      </c>
      <c r="G20" s="80" t="n">
        <v>3</v>
      </c>
      <c r="H20" s="81" t="n"/>
      <c r="I20" s="80" t="n"/>
      <c r="J20" s="80" t="n">
        <v>35</v>
      </c>
      <c r="K20" s="85" t="n">
        <v>15750</v>
      </c>
      <c r="L20" s="85" t="n">
        <v>19950</v>
      </c>
      <c r="M20" s="119" t="n"/>
    </row>
    <row r="21" ht="12.5" customHeight="1" s="69">
      <c r="A21" s="78" t="inlineStr">
        <is>
          <t>HnB</t>
        </is>
      </c>
      <c r="B21" s="109" t="inlineStr">
        <is>
          <t>멀티</t>
        </is>
      </c>
      <c r="C21" s="117" t="inlineStr">
        <is>
          <t>멀티셀8호</t>
        </is>
      </c>
      <c r="D21" s="81" t="n">
        <v>1</v>
      </c>
      <c r="E21" s="80" t="n">
        <v>3</v>
      </c>
      <c r="F21" s="81" t="n">
        <v>1</v>
      </c>
      <c r="G21" s="80" t="n">
        <v>2</v>
      </c>
      <c r="H21" s="81" t="n"/>
      <c r="I21" s="118" t="n">
        <v>1</v>
      </c>
      <c r="J21" s="80" t="n">
        <v>35</v>
      </c>
      <c r="K21" s="85" t="n">
        <v>15750</v>
      </c>
      <c r="L21" s="85" t="n">
        <v>19950</v>
      </c>
      <c r="M21" s="119" t="n"/>
    </row>
    <row r="22" ht="12.5" customHeight="1" s="69">
      <c r="A22" s="78" t="inlineStr">
        <is>
          <t>HnB</t>
        </is>
      </c>
      <c r="B22" s="109" t="inlineStr">
        <is>
          <t>멀티</t>
        </is>
      </c>
      <c r="C22" s="117" t="inlineStr">
        <is>
          <t>세럼충전기</t>
        </is>
      </c>
      <c r="D22" s="81" t="n">
        <v>1</v>
      </c>
      <c r="E22" s="80" t="n"/>
      <c r="F22" s="81" t="n">
        <v>1</v>
      </c>
      <c r="G22" s="80" t="n"/>
      <c r="H22" s="81" t="n"/>
      <c r="I22" s="80" t="n"/>
      <c r="J22" s="80" t="n">
        <v>35</v>
      </c>
      <c r="K22" s="85" t="n">
        <v>15750</v>
      </c>
      <c r="L22" s="85" t="n">
        <v>19950</v>
      </c>
      <c r="M22" s="119" t="n"/>
    </row>
    <row r="23" ht="12.5" customHeight="1" s="69">
      <c r="A23" s="78" t="inlineStr">
        <is>
          <t>HnB</t>
        </is>
      </c>
      <c r="B23" s="109" t="inlineStr">
        <is>
          <t>HnB 기타</t>
        </is>
      </c>
      <c r="C23" s="117" t="inlineStr">
        <is>
          <t>크림2호</t>
        </is>
      </c>
      <c r="D23" s="81" t="n">
        <v>1</v>
      </c>
      <c r="E23" s="80" t="n">
        <v>3</v>
      </c>
      <c r="F23" s="81" t="n">
        <v>1</v>
      </c>
      <c r="G23" s="80" t="n"/>
      <c r="H23" s="81" t="n"/>
      <c r="I23" s="118" t="n">
        <v>3</v>
      </c>
      <c r="J23" s="80" t="n">
        <v>12</v>
      </c>
      <c r="K23" s="85" t="n">
        <v>5400</v>
      </c>
      <c r="L23" s="85" t="n">
        <v>6840</v>
      </c>
      <c r="M23" s="119" t="n"/>
    </row>
    <row r="24" ht="12.5" customHeight="1" s="69">
      <c r="A24" s="78" t="inlineStr">
        <is>
          <t>HnB</t>
        </is>
      </c>
      <c r="B24" s="109" t="inlineStr">
        <is>
          <t>HnB 기타</t>
        </is>
      </c>
      <c r="C24" s="117" t="inlineStr">
        <is>
          <t>크림3호</t>
        </is>
      </c>
      <c r="D24" s="81" t="n">
        <v>1</v>
      </c>
      <c r="E24" s="80" t="n">
        <v>3</v>
      </c>
      <c r="F24" s="81" t="n">
        <v>1</v>
      </c>
      <c r="G24" s="80" t="n"/>
      <c r="H24" s="81" t="n"/>
      <c r="I24" s="118" t="n">
        <v>3</v>
      </c>
      <c r="J24" s="80" t="n">
        <v>13</v>
      </c>
      <c r="K24" s="85" t="n">
        <v>5850</v>
      </c>
      <c r="L24" s="85" t="n">
        <v>7410</v>
      </c>
      <c r="M24" s="119" t="n"/>
    </row>
    <row r="25" ht="12.5" customHeight="1" s="69">
      <c r="A25" s="78" t="inlineStr">
        <is>
          <t>HnB</t>
        </is>
      </c>
      <c r="B25" s="109" t="inlineStr">
        <is>
          <t>HnB 기타</t>
        </is>
      </c>
      <c r="C25" s="112" t="inlineStr">
        <is>
          <t>손소독제 라인</t>
        </is>
      </c>
      <c r="D25" s="81" t="n">
        <v>0</v>
      </c>
      <c r="E25" s="80" t="n"/>
      <c r="F25" s="81" t="n">
        <v>0</v>
      </c>
      <c r="G25" s="80" t="n"/>
      <c r="H25" s="81" t="n"/>
      <c r="I25" s="80" t="n"/>
      <c r="J25" s="80" t="n"/>
      <c r="K25" s="85" t="n"/>
      <c r="L25" s="85" t="n"/>
      <c r="M25" s="121" t="inlineStr">
        <is>
          <t>분당 CAPA 미기재</t>
        </is>
      </c>
    </row>
    <row r="26" ht="12.5" customHeight="1" s="69">
      <c r="A26" s="78" t="inlineStr">
        <is>
          <t>HnB</t>
        </is>
      </c>
      <c r="B26" s="109" t="inlineStr">
        <is>
          <t>HnB 기타</t>
        </is>
      </c>
      <c r="C26" s="117" t="inlineStr">
        <is>
          <t>팜플1호</t>
        </is>
      </c>
      <c r="D26" s="81" t="n">
        <v>1</v>
      </c>
      <c r="E26" s="80" t="n"/>
      <c r="F26" s="81" t="n">
        <v>1</v>
      </c>
      <c r="G26" s="80" t="n"/>
      <c r="H26" s="81" t="n"/>
      <c r="I26" s="80" t="n"/>
      <c r="J26" s="80" t="n">
        <v>110</v>
      </c>
      <c r="K26" s="85" t="n">
        <v>49500</v>
      </c>
      <c r="L26" s="85" t="n">
        <v>62700</v>
      </c>
      <c r="M26" s="119" t="n"/>
    </row>
    <row r="27" ht="12.5" customHeight="1" s="69">
      <c r="A27" s="78" t="inlineStr">
        <is>
          <t>HnB</t>
        </is>
      </c>
      <c r="B27" s="109" t="inlineStr">
        <is>
          <t>HnB 기타</t>
        </is>
      </c>
      <c r="C27" s="112" t="inlineStr">
        <is>
          <t>팜플2호(FNC)</t>
        </is>
      </c>
      <c r="D27" s="81" t="n">
        <v>0</v>
      </c>
      <c r="E27" s="80" t="n"/>
      <c r="F27" s="81" t="n">
        <v>0</v>
      </c>
      <c r="G27" s="80" t="n"/>
      <c r="H27" s="81" t="n"/>
      <c r="I27" s="80" t="n"/>
      <c r="J27" s="80" t="n"/>
      <c r="K27" s="85" t="n"/>
      <c r="L27" s="85" t="n"/>
      <c r="M27" s="121" t="inlineStr">
        <is>
          <t>분당 CAPA 미기재</t>
        </is>
      </c>
    </row>
    <row r="28" ht="12.5" customHeight="1" s="69">
      <c r="A28" s="78" t="inlineStr">
        <is>
          <t>HnB</t>
        </is>
      </c>
      <c r="B28" s="109" t="inlineStr">
        <is>
          <t>HnB 기타</t>
        </is>
      </c>
      <c r="C28" s="113" t="inlineStr">
        <is>
          <t>팜플3호</t>
        </is>
      </c>
      <c r="D28" s="81" t="n">
        <v>1</v>
      </c>
      <c r="E28" s="80" t="n"/>
      <c r="F28" s="81" t="n">
        <v>0</v>
      </c>
      <c r="G28" s="80" t="n"/>
      <c r="H28" s="120" t="n">
        <v>1</v>
      </c>
      <c r="I28" s="80" t="n"/>
      <c r="J28" s="80" t="n">
        <v>110</v>
      </c>
      <c r="K28" s="85" t="n">
        <v>49500</v>
      </c>
      <c r="L28" s="85" t="n">
        <v>62700</v>
      </c>
      <c r="M28" s="119" t="n"/>
    </row>
    <row r="29" ht="12.5" customHeight="1" s="69">
      <c r="A29" s="78" t="inlineStr">
        <is>
          <t>HnB</t>
        </is>
      </c>
      <c r="B29" s="109" t="inlineStr">
        <is>
          <t>HnB 기타</t>
        </is>
      </c>
      <c r="C29" s="112" t="inlineStr">
        <is>
          <t>팜플6호(FNC)</t>
        </is>
      </c>
      <c r="D29" s="81" t="n">
        <v>0</v>
      </c>
      <c r="E29" s="80" t="n"/>
      <c r="F29" s="81" t="n">
        <v>0</v>
      </c>
      <c r="G29" s="80" t="n"/>
      <c r="H29" s="81" t="n"/>
      <c r="I29" s="80" t="n"/>
      <c r="J29" s="80" t="n"/>
      <c r="K29" s="85" t="n"/>
      <c r="L29" s="85" t="n"/>
      <c r="M29" s="121" t="inlineStr">
        <is>
          <t>분당 CAPA 미기재</t>
        </is>
      </c>
    </row>
    <row r="30" ht="12.5" customHeight="1" s="69">
      <c r="A30" s="78" t="inlineStr">
        <is>
          <t>HnB</t>
        </is>
      </c>
      <c r="B30" s="109" t="inlineStr">
        <is>
          <t>HnB 기타</t>
        </is>
      </c>
      <c r="C30" s="112" t="inlineStr">
        <is>
          <t>팜플7호(FNC)</t>
        </is>
      </c>
      <c r="D30" s="81" t="n">
        <v>0</v>
      </c>
      <c r="E30" s="80" t="n"/>
      <c r="F30" s="81" t="n">
        <v>0</v>
      </c>
      <c r="G30" s="80" t="n"/>
      <c r="H30" s="81" t="n"/>
      <c r="I30" s="80" t="n"/>
      <c r="J30" s="80" t="n"/>
      <c r="K30" s="85" t="n"/>
      <c r="L30" s="85" t="n"/>
      <c r="M30" s="121" t="inlineStr">
        <is>
          <t>분당 CAPA 미기재</t>
        </is>
      </c>
    </row>
    <row r="31" ht="12.5" customHeight="1" s="69">
      <c r="A31" s="78" t="inlineStr">
        <is>
          <t>HnB</t>
        </is>
      </c>
      <c r="B31" s="109" t="inlineStr">
        <is>
          <t>HnB 기타</t>
        </is>
      </c>
      <c r="C31" s="117" t="inlineStr">
        <is>
          <t>팜플8호</t>
        </is>
      </c>
      <c r="D31" s="81" t="n">
        <v>1</v>
      </c>
      <c r="E31" s="80" t="n"/>
      <c r="F31" s="81" t="n">
        <v>1</v>
      </c>
      <c r="G31" s="80" t="n"/>
      <c r="H31" s="81" t="n"/>
      <c r="I31" s="80" t="n"/>
      <c r="J31" s="80" t="n">
        <v>110</v>
      </c>
      <c r="K31" s="85" t="n">
        <v>49500</v>
      </c>
      <c r="L31" s="85" t="n">
        <v>62700</v>
      </c>
      <c r="M31" s="119" t="n"/>
    </row>
    <row r="32" ht="12.5" customHeight="1" s="69">
      <c r="A32" s="78" t="inlineStr">
        <is>
          <t>HnB</t>
        </is>
      </c>
      <c r="B32" s="109" t="inlineStr">
        <is>
          <t>HnB 기타</t>
        </is>
      </c>
      <c r="C32" s="117" t="inlineStr">
        <is>
          <t>턴테이블1호</t>
        </is>
      </c>
      <c r="D32" s="81" t="n">
        <v>1</v>
      </c>
      <c r="E32" s="80" t="n">
        <v>3</v>
      </c>
      <c r="F32" s="81" t="n">
        <v>1</v>
      </c>
      <c r="G32" s="80" t="n">
        <v>2</v>
      </c>
      <c r="H32" s="81" t="n"/>
      <c r="I32" s="118" t="n">
        <v>1</v>
      </c>
      <c r="J32" s="80" t="n">
        <v>32</v>
      </c>
      <c r="K32" s="85" t="n">
        <v>14400</v>
      </c>
      <c r="L32" s="85" t="n">
        <v>18240</v>
      </c>
      <c r="M32" s="119" t="inlineStr">
        <is>
          <t>+1</t>
        </is>
      </c>
    </row>
    <row r="33" ht="12.5" customHeight="1" s="69">
      <c r="A33" s="78" t="inlineStr">
        <is>
          <t>HnB</t>
        </is>
      </c>
      <c r="B33" s="109" t="inlineStr">
        <is>
          <t>HnB 기타</t>
        </is>
      </c>
      <c r="C33" s="117" t="inlineStr">
        <is>
          <t>턴테이블3호</t>
        </is>
      </c>
      <c r="D33" s="81" t="n">
        <v>1</v>
      </c>
      <c r="E33" s="80" t="n">
        <v>3</v>
      </c>
      <c r="F33" s="81" t="n">
        <v>1</v>
      </c>
      <c r="G33" s="80" t="n">
        <v>2</v>
      </c>
      <c r="H33" s="81" t="n"/>
      <c r="I33" s="118" t="n">
        <v>1</v>
      </c>
      <c r="J33" s="80" t="n">
        <v>32</v>
      </c>
      <c r="K33" s="85" t="n">
        <v>14400</v>
      </c>
      <c r="L33" s="85" t="n">
        <v>18240</v>
      </c>
      <c r="M33" s="119" t="n"/>
    </row>
    <row r="34" ht="12.5" customHeight="1" s="69">
      <c r="A34" s="78" t="inlineStr">
        <is>
          <t>HnB</t>
        </is>
      </c>
      <c r="B34" s="109" t="inlineStr">
        <is>
          <t>HnB 기타</t>
        </is>
      </c>
      <c r="C34" s="113" t="inlineStr">
        <is>
          <t>턴테이블4호</t>
        </is>
      </c>
      <c r="D34" s="81" t="n">
        <v>1</v>
      </c>
      <c r="E34" s="80" t="n">
        <v>1</v>
      </c>
      <c r="F34" s="81" t="n">
        <v>0</v>
      </c>
      <c r="G34" s="80" t="n"/>
      <c r="H34" s="120" t="n">
        <v>1</v>
      </c>
      <c r="I34" s="118" t="n">
        <v>1</v>
      </c>
      <c r="J34" s="80" t="n">
        <v>32</v>
      </c>
      <c r="K34" s="85" t="n">
        <v>14400</v>
      </c>
      <c r="L34" s="85" t="n">
        <v>18240</v>
      </c>
      <c r="M34" s="119" t="n"/>
    </row>
    <row r="35" ht="12.5" customHeight="1" s="69">
      <c r="A35" s="78" t="inlineStr">
        <is>
          <t>튜브</t>
        </is>
      </c>
      <c r="B35" s="109" t="inlineStr">
        <is>
          <t>튜브</t>
        </is>
      </c>
      <c r="C35" s="117" t="inlineStr">
        <is>
          <t>튜브2호</t>
        </is>
      </c>
      <c r="D35" s="81" t="n">
        <v>1</v>
      </c>
      <c r="E35" s="80" t="n"/>
      <c r="F35" s="81" t="n">
        <v>1</v>
      </c>
      <c r="G35" s="80" t="n"/>
      <c r="H35" s="81" t="n"/>
      <c r="I35" s="80" t="n"/>
      <c r="J35" s="80" t="n">
        <v>45</v>
      </c>
      <c r="K35" s="85" t="n">
        <v>20250</v>
      </c>
      <c r="L35" s="85" t="n">
        <v>25650</v>
      </c>
      <c r="M35" s="119" t="inlineStr">
        <is>
          <t>품목에 따라 1명 필요</t>
        </is>
      </c>
    </row>
    <row r="36" ht="12.5" customHeight="1" s="69">
      <c r="A36" s="78" t="inlineStr">
        <is>
          <t>튜브</t>
        </is>
      </c>
      <c r="B36" s="109" t="inlineStr">
        <is>
          <t>튜브</t>
        </is>
      </c>
      <c r="C36" s="117" t="inlineStr">
        <is>
          <t>튜브3호</t>
        </is>
      </c>
      <c r="D36" s="81" t="n">
        <v>1</v>
      </c>
      <c r="E36" s="80" t="n"/>
      <c r="F36" s="81" t="n">
        <v>1</v>
      </c>
      <c r="G36" s="80" t="n"/>
      <c r="H36" s="81" t="n"/>
      <c r="I36" s="80" t="n"/>
      <c r="J36" s="80" t="n">
        <v>42</v>
      </c>
      <c r="K36" s="85" t="n">
        <v>18900</v>
      </c>
      <c r="L36" s="85" t="n">
        <v>23940</v>
      </c>
      <c r="M36" s="119" t="inlineStr">
        <is>
          <t>60파이 라인 1명 필요</t>
        </is>
      </c>
    </row>
    <row r="37" ht="12.5" customHeight="1" s="69">
      <c r="A37" s="78" t="inlineStr">
        <is>
          <t>튜브</t>
        </is>
      </c>
      <c r="B37" s="109" t="inlineStr">
        <is>
          <t>튜브</t>
        </is>
      </c>
      <c r="C37" s="117" t="inlineStr">
        <is>
          <t>튜브4호</t>
        </is>
      </c>
      <c r="D37" s="81" t="n">
        <v>1</v>
      </c>
      <c r="E37" s="80" t="n"/>
      <c r="F37" s="81" t="n">
        <v>1</v>
      </c>
      <c r="G37" s="80" t="n"/>
      <c r="H37" s="81" t="n"/>
      <c r="I37" s="80" t="n"/>
      <c r="J37" s="80" t="n">
        <v>50</v>
      </c>
      <c r="K37" s="85" t="n">
        <v>22500</v>
      </c>
      <c r="L37" s="85" t="n">
        <v>28500</v>
      </c>
      <c r="M37" s="119" t="inlineStr">
        <is>
          <t>품목에 따라 1명 필요</t>
        </is>
      </c>
    </row>
    <row r="38" ht="12.5" customHeight="1" s="69">
      <c r="A38" s="78" t="inlineStr">
        <is>
          <t>튜브</t>
        </is>
      </c>
      <c r="B38" s="109" t="inlineStr">
        <is>
          <t>튜브</t>
        </is>
      </c>
      <c r="C38" s="117" t="inlineStr">
        <is>
          <t>튜브5호</t>
        </is>
      </c>
      <c r="D38" s="81" t="n">
        <v>1</v>
      </c>
      <c r="E38" s="80" t="n"/>
      <c r="F38" s="81" t="n">
        <v>1</v>
      </c>
      <c r="G38" s="80" t="n"/>
      <c r="H38" s="81" t="n"/>
      <c r="I38" s="80" t="n"/>
      <c r="J38" s="80" t="n">
        <v>50</v>
      </c>
      <c r="K38" s="85" t="n">
        <v>22500</v>
      </c>
      <c r="L38" s="85" t="n">
        <v>28500</v>
      </c>
      <c r="M38" s="119" t="inlineStr">
        <is>
          <t>품목에 따라 1명 필요</t>
        </is>
      </c>
    </row>
    <row r="39" ht="12.5" customHeight="1" s="69">
      <c r="A39" s="78" t="inlineStr">
        <is>
          <t>튜브</t>
        </is>
      </c>
      <c r="B39" s="109" t="inlineStr">
        <is>
          <t>튜브</t>
        </is>
      </c>
      <c r="C39" s="117" t="inlineStr">
        <is>
          <t>튜브6호</t>
        </is>
      </c>
      <c r="D39" s="81" t="n">
        <v>1</v>
      </c>
      <c r="E39" s="80" t="n"/>
      <c r="F39" s="81" t="n">
        <v>1</v>
      </c>
      <c r="G39" s="80" t="n"/>
      <c r="H39" s="81" t="n"/>
      <c r="I39" s="80" t="n"/>
      <c r="J39" s="80" t="n">
        <v>50</v>
      </c>
      <c r="K39" s="85" t="n">
        <v>22500</v>
      </c>
      <c r="L39" s="85" t="n">
        <v>28500</v>
      </c>
      <c r="M39" s="119" t="inlineStr">
        <is>
          <t>품목에 따라 1명 필요</t>
        </is>
      </c>
    </row>
    <row r="40" ht="12.5" customHeight="1" s="69">
      <c r="A40" s="78" t="inlineStr">
        <is>
          <t>튜브</t>
        </is>
      </c>
      <c r="B40" s="109" t="inlineStr">
        <is>
          <t>튜브</t>
        </is>
      </c>
      <c r="C40" s="117" t="inlineStr">
        <is>
          <t>튜브7호</t>
        </is>
      </c>
      <c r="D40" s="81" t="n">
        <v>1</v>
      </c>
      <c r="E40" s="80" t="n"/>
      <c r="F40" s="81" t="n">
        <v>1</v>
      </c>
      <c r="G40" s="80" t="n"/>
      <c r="H40" s="81" t="n"/>
      <c r="I40" s="80" t="n"/>
      <c r="J40" s="80" t="n">
        <v>54</v>
      </c>
      <c r="K40" s="85" t="n">
        <v>24300</v>
      </c>
      <c r="L40" s="85" t="n">
        <v>30780</v>
      </c>
      <c r="M40" s="119" t="n"/>
    </row>
    <row r="41" ht="12.5" customHeight="1" s="69">
      <c r="A41" s="78" t="inlineStr">
        <is>
          <t>튜브</t>
        </is>
      </c>
      <c r="B41" s="109" t="inlineStr">
        <is>
          <t>튜브</t>
        </is>
      </c>
      <c r="C41" s="117" t="inlineStr">
        <is>
          <t>튜브8호</t>
        </is>
      </c>
      <c r="D41" s="81" t="n">
        <v>1</v>
      </c>
      <c r="E41" s="80" t="n">
        <v>2</v>
      </c>
      <c r="F41" s="81" t="n">
        <v>1</v>
      </c>
      <c r="G41" s="80" t="n">
        <v>2</v>
      </c>
      <c r="H41" s="81" t="n"/>
      <c r="I41" s="80" t="n"/>
      <c r="J41" s="80" t="n">
        <v>45</v>
      </c>
      <c r="K41" s="85" t="n">
        <v>20250</v>
      </c>
      <c r="L41" s="85" t="n">
        <v>25650</v>
      </c>
      <c r="M41" s="119" t="n"/>
    </row>
    <row r="42" ht="12.5" customHeight="1" s="69">
      <c r="A42" s="78" t="inlineStr">
        <is>
          <t>튜브</t>
        </is>
      </c>
      <c r="B42" s="109" t="inlineStr">
        <is>
          <t>튜브</t>
        </is>
      </c>
      <c r="C42" s="112" t="inlineStr">
        <is>
          <t>튜브9호(초음파)</t>
        </is>
      </c>
      <c r="D42" s="81" t="n">
        <v>0</v>
      </c>
      <c r="E42" s="80" t="n"/>
      <c r="F42" s="81" t="n">
        <v>0</v>
      </c>
      <c r="G42" s="80" t="n"/>
      <c r="H42" s="81" t="n"/>
      <c r="I42" s="80" t="n"/>
      <c r="J42" s="80" t="n"/>
      <c r="K42" s="85" t="n"/>
      <c r="L42" s="85" t="n"/>
      <c r="M42" s="121" t="inlineStr">
        <is>
          <t>설비 가동안함 · 분당 CAPA 미기재</t>
        </is>
      </c>
    </row>
    <row r="43" ht="12.5" customHeight="1" s="69">
      <c r="A43" s="78" t="inlineStr">
        <is>
          <t>염모제</t>
        </is>
      </c>
      <c r="B43" s="109" t="inlineStr">
        <is>
          <t>염모제</t>
        </is>
      </c>
      <c r="C43" s="112" t="inlineStr">
        <is>
          <t>염모제 지구성1호(염모제 충전1호</t>
        </is>
      </c>
      <c r="D43" s="81" t="n">
        <v>1</v>
      </c>
      <c r="E43" s="80" t="n">
        <v>1</v>
      </c>
      <c r="F43" s="81" t="n">
        <v>1</v>
      </c>
      <c r="G43" s="80" t="n">
        <v>1</v>
      </c>
      <c r="H43" s="81" t="n"/>
      <c r="I43" s="80" t="n"/>
      <c r="J43" s="80" t="n">
        <v>35</v>
      </c>
      <c r="K43" s="85" t="n">
        <v>15750</v>
      </c>
      <c r="L43" s="85" t="n">
        <v>19950</v>
      </c>
      <c r="M43" s="121" t="inlineStr">
        <is>
          <t>동일 라인 중복 기재</t>
        </is>
      </c>
    </row>
    <row r="44" ht="12.5" customHeight="1" s="69">
      <c r="A44" s="78" t="inlineStr">
        <is>
          <t>염모제</t>
        </is>
      </c>
      <c r="B44" s="109" t="inlineStr">
        <is>
          <t>염모제</t>
        </is>
      </c>
      <c r="C44" s="112" t="inlineStr">
        <is>
          <t>염모제직구성3호(모제 충전3호</t>
        </is>
      </c>
      <c r="D44" s="81" t="n">
        <v>1</v>
      </c>
      <c r="E44" s="80" t="n"/>
      <c r="F44" s="81" t="n">
        <v>1</v>
      </c>
      <c r="G44" s="80" t="n"/>
      <c r="H44" s="81" t="n"/>
      <c r="I44" s="80" t="n"/>
      <c r="J44" s="80" t="n">
        <v>25</v>
      </c>
      <c r="K44" s="85" t="n">
        <v>11250</v>
      </c>
      <c r="L44" s="85" t="n">
        <v>14250</v>
      </c>
      <c r="M44" s="121" t="inlineStr">
        <is>
          <t>동일 라인 중복 기재</t>
        </is>
      </c>
    </row>
    <row r="45" ht="12.5" customHeight="1" s="69">
      <c r="A45" s="78" t="inlineStr">
        <is>
          <t>염모제</t>
        </is>
      </c>
      <c r="B45" s="109" t="inlineStr">
        <is>
          <t>염모제</t>
        </is>
      </c>
      <c r="C45" s="112" t="inlineStr">
        <is>
          <t>염모데직구성5호(염모제 충전5호</t>
        </is>
      </c>
      <c r="D45" s="81" t="n">
        <v>0.5</v>
      </c>
      <c r="E45" s="80" t="n"/>
      <c r="F45" s="81" t="n">
        <v>0.5</v>
      </c>
      <c r="G45" s="80" t="n"/>
      <c r="H45" s="81" t="n"/>
      <c r="I45" s="80" t="n"/>
      <c r="J45" s="80" t="n">
        <v>35</v>
      </c>
      <c r="K45" s="85" t="n">
        <v>15750</v>
      </c>
      <c r="L45" s="85" t="n">
        <v>19950</v>
      </c>
      <c r="M45" s="121" t="inlineStr">
        <is>
          <t>동일 라인 중복 기재</t>
        </is>
      </c>
    </row>
    <row r="46" ht="12.5" customHeight="1" s="69">
      <c r="A46" s="78" t="inlineStr">
        <is>
          <t>염모제</t>
        </is>
      </c>
      <c r="B46" s="109" t="inlineStr">
        <is>
          <t>염모제</t>
        </is>
      </c>
      <c r="C46" s="117" t="inlineStr">
        <is>
          <t>염모제 직구성1호(염모제충전1호</t>
        </is>
      </c>
      <c r="D46" s="81" t="n">
        <v>1</v>
      </c>
      <c r="E46" s="80" t="n">
        <v>1</v>
      </c>
      <c r="F46" s="81" t="n">
        <v>1</v>
      </c>
      <c r="G46" s="80" t="n"/>
      <c r="H46" s="81" t="n"/>
      <c r="I46" s="118" t="n">
        <v>1</v>
      </c>
      <c r="J46" s="80" t="n">
        <v>35</v>
      </c>
      <c r="K46" s="85" t="n">
        <v>15750</v>
      </c>
      <c r="L46" s="85" t="n">
        <v>19950</v>
      </c>
      <c r="M46" s="119" t="n"/>
    </row>
    <row r="47" ht="12.5" customHeight="1" s="69">
      <c r="A47" s="78" t="inlineStr">
        <is>
          <t>염모제</t>
        </is>
      </c>
      <c r="B47" s="109" t="inlineStr">
        <is>
          <t>염모제</t>
        </is>
      </c>
      <c r="C47" s="113" t="inlineStr">
        <is>
          <t>염모제 직구성2호</t>
        </is>
      </c>
      <c r="D47" s="81" t="n">
        <v>1</v>
      </c>
      <c r="E47" s="80" t="n">
        <v>4</v>
      </c>
      <c r="F47" s="81" t="n">
        <v>0</v>
      </c>
      <c r="G47" s="80" t="n"/>
      <c r="H47" s="120" t="n">
        <v>1</v>
      </c>
      <c r="I47" s="118" t="n">
        <v>4</v>
      </c>
      <c r="J47" s="80" t="n"/>
      <c r="K47" s="85" t="n"/>
      <c r="L47" s="85" t="n"/>
      <c r="M47" s="121" t="inlineStr">
        <is>
          <t>분당 CAPA 미기재</t>
        </is>
      </c>
    </row>
    <row r="48" ht="12.5" customHeight="1" s="69">
      <c r="A48" s="78" t="inlineStr">
        <is>
          <t>염모제</t>
        </is>
      </c>
      <c r="B48" s="109" t="inlineStr">
        <is>
          <t>염모제</t>
        </is>
      </c>
      <c r="C48" s="113" t="inlineStr">
        <is>
          <t>염모제 직구성3호(염모충전3호 산화충5)</t>
        </is>
      </c>
      <c r="D48" s="81" t="n">
        <v>1</v>
      </c>
      <c r="E48" s="80" t="n">
        <v>4</v>
      </c>
      <c r="F48" s="81" t="n">
        <v>0</v>
      </c>
      <c r="G48" s="80" t="n"/>
      <c r="H48" s="120" t="n">
        <v>1</v>
      </c>
      <c r="I48" s="118" t="n">
        <v>4</v>
      </c>
      <c r="J48" s="80" t="n">
        <v>25</v>
      </c>
      <c r="K48" s="85" t="n">
        <v>11250</v>
      </c>
      <c r="L48" s="85" t="n">
        <v>14250</v>
      </c>
      <c r="M48" s="119" t="n"/>
    </row>
    <row r="49" ht="12.5" customHeight="1" s="69">
      <c r="A49" s="78" t="inlineStr">
        <is>
          <t>염모제</t>
        </is>
      </c>
      <c r="B49" s="109" t="inlineStr">
        <is>
          <t>염모제</t>
        </is>
      </c>
      <c r="C49" s="117" t="inlineStr">
        <is>
          <t>염모제 직구성5호(염모충전5 산화충전6</t>
        </is>
      </c>
      <c r="D49" s="81" t="n">
        <v>1</v>
      </c>
      <c r="E49" s="80" t="n">
        <v>1</v>
      </c>
      <c r="F49" s="81" t="n">
        <v>1</v>
      </c>
      <c r="G49" s="80" t="n">
        <v>1</v>
      </c>
      <c r="H49" s="81" t="n"/>
      <c r="I49" s="80" t="n"/>
      <c r="J49" s="80" t="n">
        <v>35</v>
      </c>
      <c r="K49" s="85" t="n">
        <v>15750</v>
      </c>
      <c r="L49" s="85" t="n">
        <v>19950</v>
      </c>
      <c r="M49" s="119" t="n"/>
    </row>
    <row r="50" ht="12.5" customHeight="1" s="69">
      <c r="A50" s="78" t="inlineStr">
        <is>
          <t>염모제</t>
        </is>
      </c>
      <c r="B50" s="109" t="inlineStr">
        <is>
          <t>염모제</t>
        </is>
      </c>
      <c r="C50" s="117" t="inlineStr">
        <is>
          <t>염모제 직구성6호(파우치 3.4호)</t>
        </is>
      </c>
      <c r="D50" s="81" t="n">
        <v>1</v>
      </c>
      <c r="E50" s="80" t="n">
        <v>1</v>
      </c>
      <c r="F50" s="81" t="n">
        <v>1</v>
      </c>
      <c r="G50" s="80" t="n"/>
      <c r="H50" s="81" t="n"/>
      <c r="I50" s="118" t="n">
        <v>1</v>
      </c>
      <c r="J50" s="80" t="n">
        <v>16</v>
      </c>
      <c r="K50" s="85" t="n">
        <v>7200</v>
      </c>
      <c r="L50" s="85" t="n">
        <v>9120</v>
      </c>
      <c r="M50" s="119" t="n"/>
    </row>
    <row r="51" ht="12.5" customHeight="1" s="69">
      <c r="A51" s="78" t="inlineStr">
        <is>
          <t>염모제</t>
        </is>
      </c>
      <c r="B51" s="109" t="inlineStr">
        <is>
          <t>염모제</t>
        </is>
      </c>
      <c r="C51" s="117" t="inlineStr">
        <is>
          <t>염모제 직구성7호(파우치6 산화충전8호)</t>
        </is>
      </c>
      <c r="D51" s="81" t="n">
        <v>1</v>
      </c>
      <c r="E51" s="80" t="n">
        <v>2</v>
      </c>
      <c r="F51" s="81" t="n">
        <v>1</v>
      </c>
      <c r="G51" s="80" t="n">
        <v>2</v>
      </c>
      <c r="H51" s="81" t="n"/>
      <c r="I51" s="80" t="n"/>
      <c r="J51" s="80" t="n">
        <v>60</v>
      </c>
      <c r="K51" s="85" t="n">
        <v>27000</v>
      </c>
      <c r="L51" s="85" t="n">
        <v>34200</v>
      </c>
      <c r="M51" s="119" t="n"/>
    </row>
    <row r="52" ht="12.5" customHeight="1" s="69">
      <c r="A52" s="78" t="inlineStr">
        <is>
          <t>염모제</t>
        </is>
      </c>
      <c r="B52" s="109" t="inlineStr">
        <is>
          <t>염모제</t>
        </is>
      </c>
      <c r="C52" s="113" t="inlineStr">
        <is>
          <t>염모제 파우치2호</t>
        </is>
      </c>
      <c r="D52" s="81" t="n">
        <v>1</v>
      </c>
      <c r="E52" s="80" t="n"/>
      <c r="F52" s="81" t="n">
        <v>0</v>
      </c>
      <c r="G52" s="80" t="n"/>
      <c r="H52" s="120" t="n">
        <v>1</v>
      </c>
      <c r="I52" s="80" t="n"/>
      <c r="J52" s="80" t="n"/>
      <c r="K52" s="85" t="n"/>
      <c r="L52" s="85" t="n"/>
      <c r="M52" s="121" t="inlineStr">
        <is>
          <t>분당 CAPA 미기재</t>
        </is>
      </c>
    </row>
    <row r="53" ht="12.5" customHeight="1" s="69">
      <c r="A53" s="78" t="inlineStr">
        <is>
          <t>염모제</t>
        </is>
      </c>
      <c r="B53" s="109" t="inlineStr">
        <is>
          <t>염모제</t>
        </is>
      </c>
      <c r="C53" s="117" t="inlineStr">
        <is>
          <t>염모제 파우치3호(염모제 직구성6호)</t>
        </is>
      </c>
      <c r="D53" s="81" t="n">
        <v>0.5</v>
      </c>
      <c r="E53" s="80" t="n"/>
      <c r="F53" s="81" t="n">
        <v>0.5</v>
      </c>
      <c r="G53" s="80" t="n"/>
      <c r="H53" s="81" t="n"/>
      <c r="I53" s="80" t="n"/>
      <c r="J53" s="80" t="n">
        <v>16</v>
      </c>
      <c r="K53" s="85" t="n">
        <v>7200</v>
      </c>
      <c r="L53" s="85" t="n">
        <v>9120</v>
      </c>
      <c r="M53" s="119" t="n"/>
    </row>
    <row r="54" ht="12.5" customHeight="1" s="69">
      <c r="A54" s="78" t="inlineStr">
        <is>
          <t>염모제</t>
        </is>
      </c>
      <c r="B54" s="109" t="inlineStr">
        <is>
          <t>염모제</t>
        </is>
      </c>
      <c r="C54" s="117" t="inlineStr">
        <is>
          <t>염모제 파우치4호(염모제직구성6호)</t>
        </is>
      </c>
      <c r="D54" s="81" t="n">
        <v>0.5</v>
      </c>
      <c r="E54" s="80" t="n"/>
      <c r="F54" s="81" t="n">
        <v>0.5</v>
      </c>
      <c r="G54" s="80" t="n"/>
      <c r="H54" s="81" t="n"/>
      <c r="I54" s="80" t="n"/>
      <c r="J54" s="80" t="n">
        <v>16</v>
      </c>
      <c r="K54" s="85" t="n">
        <v>7200</v>
      </c>
      <c r="L54" s="85" t="n">
        <v>9120</v>
      </c>
      <c r="M54" s="119" t="n"/>
    </row>
    <row r="55" ht="12.5" customHeight="1" s="69">
      <c r="A55" s="78" t="inlineStr">
        <is>
          <t>염모제</t>
        </is>
      </c>
      <c r="B55" s="109" t="inlineStr">
        <is>
          <t>염모제</t>
        </is>
      </c>
      <c r="C55" s="112" t="inlineStr">
        <is>
          <t>염모제 파우치5호</t>
        </is>
      </c>
      <c r="D55" s="81" t="n">
        <v>1</v>
      </c>
      <c r="E55" s="80" t="n"/>
      <c r="F55" s="81" t="n">
        <v>1</v>
      </c>
      <c r="G55" s="80" t="n"/>
      <c r="H55" s="81" t="n"/>
      <c r="I55" s="80" t="n"/>
      <c r="J55" s="80" t="n"/>
      <c r="K55" s="85" t="n"/>
      <c r="L55" s="85" t="n"/>
      <c r="M55" s="121" t="inlineStr">
        <is>
          <t>분당 CAPA 미기재</t>
        </is>
      </c>
    </row>
    <row r="56" ht="12.5" customHeight="1" s="69">
      <c r="A56" s="78" t="inlineStr">
        <is>
          <t>염모제</t>
        </is>
      </c>
      <c r="B56" s="109" t="inlineStr">
        <is>
          <t>염모제</t>
        </is>
      </c>
      <c r="C56" s="117" t="inlineStr">
        <is>
          <t>염모제 파우치6호(염모제직구성7호)</t>
        </is>
      </c>
      <c r="D56" s="81" t="n">
        <v>1</v>
      </c>
      <c r="E56" s="80" t="n"/>
      <c r="F56" s="81" t="n">
        <v>1</v>
      </c>
      <c r="G56" s="80" t="n"/>
      <c r="H56" s="81" t="n"/>
      <c r="I56" s="80" t="n"/>
      <c r="J56" s="80" t="n">
        <v>60</v>
      </c>
      <c r="K56" s="85" t="n">
        <v>27000</v>
      </c>
      <c r="L56" s="85" t="n">
        <v>34200</v>
      </c>
      <c r="M56" s="119" t="n"/>
    </row>
    <row r="57" ht="12.5" customHeight="1" s="69">
      <c r="A57" s="78" t="inlineStr">
        <is>
          <t>염모제</t>
        </is>
      </c>
      <c r="B57" s="109" t="inlineStr">
        <is>
          <t>염모제</t>
        </is>
      </c>
      <c r="C57" s="117" t="inlineStr">
        <is>
          <t>산화제 충전2호</t>
        </is>
      </c>
      <c r="D57" s="81" t="n">
        <v>1</v>
      </c>
      <c r="E57" s="80" t="n">
        <v>1</v>
      </c>
      <c r="F57" s="81" t="n">
        <v>1</v>
      </c>
      <c r="G57" s="80" t="n">
        <v>1</v>
      </c>
      <c r="H57" s="81" t="n"/>
      <c r="I57" s="80" t="n"/>
      <c r="J57" s="80" t="n">
        <v>25</v>
      </c>
      <c r="K57" s="85" t="n">
        <v>11250</v>
      </c>
      <c r="L57" s="85" t="n">
        <v>14250</v>
      </c>
      <c r="M57" s="119" t="n"/>
    </row>
    <row r="58" ht="12.5" customHeight="1" s="69">
      <c r="A58" s="78" t="inlineStr">
        <is>
          <t>염모제</t>
        </is>
      </c>
      <c r="B58" s="109" t="inlineStr">
        <is>
          <t>염모제</t>
        </is>
      </c>
      <c r="C58" s="117" t="inlineStr">
        <is>
          <t>산화제 충전3호</t>
        </is>
      </c>
      <c r="D58" s="81" t="n">
        <v>1</v>
      </c>
      <c r="E58" s="80" t="n">
        <v>1</v>
      </c>
      <c r="F58" s="81" t="n">
        <v>1</v>
      </c>
      <c r="G58" s="80" t="n"/>
      <c r="H58" s="81" t="n"/>
      <c r="I58" s="118" t="n">
        <v>1</v>
      </c>
      <c r="J58" s="80" t="n">
        <v>5</v>
      </c>
      <c r="K58" s="85" t="n">
        <v>2250</v>
      </c>
      <c r="L58" s="85" t="n">
        <v>2850</v>
      </c>
      <c r="M58" s="119" t="n"/>
    </row>
    <row r="59" ht="12.5" customHeight="1" s="69">
      <c r="A59" s="78" t="inlineStr">
        <is>
          <t>염모제</t>
        </is>
      </c>
      <c r="B59" s="109" t="inlineStr">
        <is>
          <t>염모제</t>
        </is>
      </c>
      <c r="C59" s="117" t="inlineStr">
        <is>
          <t>산화제 충전5호(직구성5호</t>
        </is>
      </c>
      <c r="D59" s="81" t="n">
        <v>1</v>
      </c>
      <c r="E59" s="80" t="n"/>
      <c r="F59" s="81" t="n">
        <v>1</v>
      </c>
      <c r="G59" s="80" t="n"/>
      <c r="H59" s="81" t="n"/>
      <c r="I59" s="80" t="n"/>
      <c r="J59" s="80" t="n">
        <v>25</v>
      </c>
      <c r="K59" s="85" t="n">
        <v>11250</v>
      </c>
      <c r="L59" s="85" t="n">
        <v>14250</v>
      </c>
      <c r="M59" s="119" t="n"/>
    </row>
    <row r="60" ht="12.5" customHeight="1" s="69">
      <c r="A60" s="78" t="inlineStr">
        <is>
          <t>염모제</t>
        </is>
      </c>
      <c r="B60" s="109" t="inlineStr">
        <is>
          <t>염모제</t>
        </is>
      </c>
      <c r="C60" s="117" t="inlineStr">
        <is>
          <t>산화제 충전6호(염모제직구성7호)</t>
        </is>
      </c>
      <c r="D60" s="81" t="n">
        <v>0.5</v>
      </c>
      <c r="E60" s="80" t="n"/>
      <c r="F60" s="81" t="n">
        <v>0.5</v>
      </c>
      <c r="G60" s="80" t="n"/>
      <c r="H60" s="81" t="n"/>
      <c r="I60" s="80" t="n"/>
      <c r="J60" s="80" t="n">
        <v>35</v>
      </c>
      <c r="K60" s="85" t="n">
        <v>15750</v>
      </c>
      <c r="L60" s="85" t="n">
        <v>19950</v>
      </c>
      <c r="M60" s="119" t="n"/>
    </row>
    <row r="61" ht="12.5" customHeight="1" s="69">
      <c r="A61" s="78" t="inlineStr">
        <is>
          <t>염모제</t>
        </is>
      </c>
      <c r="B61" s="109" t="inlineStr">
        <is>
          <t>염모제</t>
        </is>
      </c>
      <c r="C61" s="113" t="inlineStr">
        <is>
          <t>산화제 충전7호</t>
        </is>
      </c>
      <c r="D61" s="81" t="n">
        <v>1</v>
      </c>
      <c r="E61" s="80" t="n">
        <v>1</v>
      </c>
      <c r="F61" s="81" t="n">
        <v>0</v>
      </c>
      <c r="G61" s="80" t="n"/>
      <c r="H61" s="120" t="n">
        <v>1</v>
      </c>
      <c r="I61" s="118" t="n">
        <v>1</v>
      </c>
      <c r="J61" s="80" t="n"/>
      <c r="K61" s="85" t="n"/>
      <c r="L61" s="85" t="n"/>
      <c r="M61" s="121" t="inlineStr">
        <is>
          <t>분당 CAPA 미기재</t>
        </is>
      </c>
    </row>
    <row r="62" ht="12.5" customHeight="1" s="69">
      <c r="A62" s="78" t="inlineStr">
        <is>
          <t>염모제</t>
        </is>
      </c>
      <c r="B62" s="109" t="inlineStr">
        <is>
          <t>염모제</t>
        </is>
      </c>
      <c r="C62" s="117" t="inlineStr">
        <is>
          <t>산화제 충전8호(염모제지구성7호)</t>
        </is>
      </c>
      <c r="D62" s="81" t="n">
        <v>1</v>
      </c>
      <c r="E62" s="80" t="n"/>
      <c r="F62" s="81" t="n">
        <v>1</v>
      </c>
      <c r="G62" s="80" t="n"/>
      <c r="H62" s="81" t="n"/>
      <c r="I62" s="80" t="n"/>
      <c r="J62" s="80" t="n">
        <v>60</v>
      </c>
      <c r="K62" s="85" t="n">
        <v>27000</v>
      </c>
      <c r="L62" s="85" t="n">
        <v>34200</v>
      </c>
      <c r="M62" s="119" t="n"/>
    </row>
    <row r="63" ht="12.5" customHeight="1" s="69">
      <c r="A63" s="78" t="inlineStr">
        <is>
          <t>염모제</t>
        </is>
      </c>
      <c r="B63" s="109" t="inlineStr">
        <is>
          <t>염모제</t>
        </is>
      </c>
      <c r="C63" s="113" t="inlineStr">
        <is>
          <t>염모제 기획</t>
        </is>
      </c>
      <c r="D63" s="81" t="n">
        <v>1</v>
      </c>
      <c r="E63" s="80" t="n">
        <v>10</v>
      </c>
      <c r="F63" s="81" t="n">
        <v>0</v>
      </c>
      <c r="G63" s="80" t="n"/>
      <c r="H63" s="120" t="n">
        <v>1</v>
      </c>
      <c r="I63" s="118" t="n">
        <v>10</v>
      </c>
      <c r="J63" s="80" t="n"/>
      <c r="K63" s="85" t="n"/>
      <c r="L63" s="85" t="n"/>
      <c r="M63" s="121" t="inlineStr">
        <is>
          <t>분당 CAPA 미기재</t>
        </is>
      </c>
    </row>
    <row r="64" ht="12.5" customHeight="1" s="69">
      <c r="A64" s="78" t="inlineStr">
        <is>
          <t>치약</t>
        </is>
      </c>
      <c r="B64" s="109" t="inlineStr">
        <is>
          <t>치약</t>
        </is>
      </c>
      <c r="C64" s="113" t="inlineStr">
        <is>
          <t>치약충전2호</t>
        </is>
      </c>
      <c r="D64" s="81" t="n">
        <v>1</v>
      </c>
      <c r="E64" s="80" t="n">
        <v>2</v>
      </c>
      <c r="F64" s="81" t="n">
        <v>0</v>
      </c>
      <c r="G64" s="80" t="n"/>
      <c r="H64" s="120" t="n">
        <v>1</v>
      </c>
      <c r="I64" s="118" t="n">
        <v>2</v>
      </c>
      <c r="J64" s="80" t="n">
        <v>150</v>
      </c>
      <c r="K64" s="85" t="n">
        <v>67500</v>
      </c>
      <c r="L64" s="85" t="n">
        <v>85500</v>
      </c>
      <c r="M64" s="119" t="n"/>
    </row>
    <row r="65" ht="12.5" customHeight="1" s="69">
      <c r="A65" s="78" t="inlineStr">
        <is>
          <t>치약</t>
        </is>
      </c>
      <c r="B65" s="109" t="inlineStr">
        <is>
          <t>치약</t>
        </is>
      </c>
      <c r="C65" s="113" t="inlineStr">
        <is>
          <t>치약충전3호</t>
        </is>
      </c>
      <c r="D65" s="81" t="n">
        <v>1</v>
      </c>
      <c r="E65" s="80" t="n">
        <v>2</v>
      </c>
      <c r="F65" s="81" t="n">
        <v>0</v>
      </c>
      <c r="G65" s="80" t="n"/>
      <c r="H65" s="120" t="n">
        <v>1</v>
      </c>
      <c r="I65" s="118" t="n">
        <v>2</v>
      </c>
      <c r="J65" s="80" t="n">
        <v>150</v>
      </c>
      <c r="K65" s="85" t="n">
        <v>67500</v>
      </c>
      <c r="L65" s="85" t="n">
        <v>85500</v>
      </c>
      <c r="M65" s="119" t="n"/>
    </row>
    <row r="66" ht="12.5" customHeight="1" s="69">
      <c r="A66" s="78" t="inlineStr">
        <is>
          <t>치약</t>
        </is>
      </c>
      <c r="B66" s="109" t="inlineStr">
        <is>
          <t>치약</t>
        </is>
      </c>
      <c r="C66" s="117" t="inlineStr">
        <is>
          <t>치약충전4호</t>
        </is>
      </c>
      <c r="D66" s="81" t="n">
        <v>1</v>
      </c>
      <c r="E66" s="80" t="n">
        <v>2</v>
      </c>
      <c r="F66" s="81" t="n">
        <v>1</v>
      </c>
      <c r="G66" s="80" t="n">
        <v>1</v>
      </c>
      <c r="H66" s="81" t="n"/>
      <c r="I66" s="118" t="n">
        <v>1</v>
      </c>
      <c r="J66" s="80" t="n">
        <v>65</v>
      </c>
      <c r="K66" s="85" t="n">
        <v>29250</v>
      </c>
      <c r="L66" s="85" t="n">
        <v>37050</v>
      </c>
      <c r="M66" s="119" t="inlineStr">
        <is>
          <t>본품작업시 작업자2명 필요함</t>
        </is>
      </c>
    </row>
    <row r="67" ht="12.5" customHeight="1" s="69">
      <c r="A67" s="78" t="inlineStr">
        <is>
          <t>치약</t>
        </is>
      </c>
      <c r="B67" s="109" t="inlineStr">
        <is>
          <t>치약</t>
        </is>
      </c>
      <c r="C67" s="117" t="inlineStr">
        <is>
          <t>치약충전5호</t>
        </is>
      </c>
      <c r="D67" s="81" t="n">
        <v>1</v>
      </c>
      <c r="E67" s="80" t="n">
        <v>1</v>
      </c>
      <c r="F67" s="81" t="n">
        <v>1</v>
      </c>
      <c r="G67" s="80" t="n">
        <v>2</v>
      </c>
      <c r="H67" s="81" t="n"/>
      <c r="I67" s="80" t="n">
        <v>-1</v>
      </c>
      <c r="J67" s="80" t="n">
        <v>150</v>
      </c>
      <c r="K67" s="85" t="n">
        <v>67500</v>
      </c>
      <c r="L67" s="85" t="n">
        <v>85500</v>
      </c>
      <c r="M67" s="119" t="inlineStr">
        <is>
          <t>내용물 포터블 capa 130</t>
        </is>
      </c>
    </row>
    <row r="68" ht="12.5" customHeight="1" s="69">
      <c r="A68" s="78" t="inlineStr">
        <is>
          <t>치약</t>
        </is>
      </c>
      <c r="B68" s="109" t="inlineStr">
        <is>
          <t>치약</t>
        </is>
      </c>
      <c r="C68" s="117" t="inlineStr">
        <is>
          <t>치약충전6호</t>
        </is>
      </c>
      <c r="D68" s="81" t="n">
        <v>1</v>
      </c>
      <c r="E68" s="80" t="n">
        <v>1</v>
      </c>
      <c r="F68" s="81" t="n">
        <v>1</v>
      </c>
      <c r="G68" s="80" t="n">
        <v>2</v>
      </c>
      <c r="H68" s="81" t="n"/>
      <c r="I68" s="80" t="n">
        <v>-1</v>
      </c>
      <c r="J68" s="80" t="n">
        <v>150</v>
      </c>
      <c r="K68" s="85" t="n">
        <v>67500</v>
      </c>
      <c r="L68" s="85" t="n">
        <v>85500</v>
      </c>
      <c r="M68" s="119" t="inlineStr">
        <is>
          <t>내용물 포터블 capa 130</t>
        </is>
      </c>
    </row>
    <row r="69" ht="12.5" customHeight="1" s="69">
      <c r="A69" s="78" t="inlineStr">
        <is>
          <t>치약</t>
        </is>
      </c>
      <c r="B69" s="109" t="inlineStr">
        <is>
          <t>치약</t>
        </is>
      </c>
      <c r="C69" s="113" t="inlineStr">
        <is>
          <t>치약수축2호</t>
        </is>
      </c>
      <c r="D69" s="81" t="n">
        <v>1</v>
      </c>
      <c r="E69" s="80" t="n"/>
      <c r="F69" s="81" t="n">
        <v>0</v>
      </c>
      <c r="G69" s="80" t="n"/>
      <c r="H69" s="120" t="n">
        <v>1</v>
      </c>
      <c r="I69" s="80" t="n"/>
      <c r="J69" s="80" t="n">
        <v>50</v>
      </c>
      <c r="K69" s="85" t="n">
        <v>22500</v>
      </c>
      <c r="L69" s="85" t="n">
        <v>28500</v>
      </c>
      <c r="M69" s="119" t="n"/>
    </row>
    <row r="70" ht="12.5" customHeight="1" s="69">
      <c r="A70" s="78" t="inlineStr">
        <is>
          <t>치약</t>
        </is>
      </c>
      <c r="B70" s="109" t="inlineStr">
        <is>
          <t>치약</t>
        </is>
      </c>
      <c r="C70" s="117" t="inlineStr">
        <is>
          <t>치약수축4호</t>
        </is>
      </c>
      <c r="D70" s="81" t="n">
        <v>1</v>
      </c>
      <c r="E70" s="80" t="n">
        <v>1</v>
      </c>
      <c r="F70" s="81" t="n">
        <v>1</v>
      </c>
      <c r="G70" s="80" t="n"/>
      <c r="H70" s="81" t="n"/>
      <c r="I70" s="118" t="n">
        <v>1</v>
      </c>
      <c r="J70" s="80" t="n">
        <v>50</v>
      </c>
      <c r="K70" s="85" t="n">
        <v>22500</v>
      </c>
      <c r="L70" s="85" t="n">
        <v>28500</v>
      </c>
      <c r="M70" s="119" t="inlineStr">
        <is>
          <t>내용물 포터블 capa 43</t>
        </is>
      </c>
    </row>
    <row r="71" ht="12.5" customHeight="1" s="69">
      <c r="A71" s="78" t="inlineStr">
        <is>
          <t>치약</t>
        </is>
      </c>
      <c r="B71" s="109" t="inlineStr">
        <is>
          <t>치약</t>
        </is>
      </c>
      <c r="C71" s="117" t="inlineStr">
        <is>
          <t>치약수축5호</t>
        </is>
      </c>
      <c r="D71" s="81" t="n">
        <v>1</v>
      </c>
      <c r="E71" s="80" t="n">
        <v>1</v>
      </c>
      <c r="F71" s="81" t="n">
        <v>1</v>
      </c>
      <c r="G71" s="80" t="n"/>
      <c r="H71" s="81" t="n"/>
      <c r="I71" s="118" t="n">
        <v>1</v>
      </c>
      <c r="J71" s="80" t="n">
        <v>50</v>
      </c>
      <c r="K71" s="85" t="n">
        <v>22500</v>
      </c>
      <c r="L71" s="85" t="n">
        <v>28500</v>
      </c>
      <c r="M71" s="119" t="inlineStr">
        <is>
          <t>내용물 포터블 capa 43</t>
        </is>
      </c>
    </row>
    <row r="72" ht="12.5" customHeight="1" s="69">
      <c r="A72" s="78" t="inlineStr">
        <is>
          <t>치약</t>
        </is>
      </c>
      <c r="B72" s="109" t="inlineStr">
        <is>
          <t>치약</t>
        </is>
      </c>
      <c r="C72" s="113" t="inlineStr">
        <is>
          <t>치약기획</t>
        </is>
      </c>
      <c r="D72" s="81" t="n">
        <v>1</v>
      </c>
      <c r="E72" s="80" t="n">
        <v>4</v>
      </c>
      <c r="F72" s="81" t="n">
        <v>0</v>
      </c>
      <c r="G72" s="80" t="n"/>
      <c r="H72" s="120" t="n">
        <v>1</v>
      </c>
      <c r="I72" s="118" t="n">
        <v>4</v>
      </c>
      <c r="J72" s="80" t="n">
        <v>10</v>
      </c>
      <c r="K72" s="85" t="n">
        <v>4500</v>
      </c>
      <c r="L72" s="85" t="n">
        <v>5700</v>
      </c>
      <c r="M72" s="119" t="n"/>
    </row>
    <row r="73" ht="12.5" customHeight="1" s="69">
      <c r="A73" s="78" t="inlineStr">
        <is>
          <t>치약</t>
        </is>
      </c>
      <c r="B73" s="109" t="inlineStr">
        <is>
          <t>치약</t>
        </is>
      </c>
      <c r="C73" s="113" t="inlineStr">
        <is>
          <t>일회용 치약충전</t>
        </is>
      </c>
      <c r="D73" s="81" t="n">
        <v>1</v>
      </c>
      <c r="E73" s="80" t="n">
        <v>1</v>
      </c>
      <c r="F73" s="81" t="n">
        <v>0</v>
      </c>
      <c r="G73" s="80" t="n"/>
      <c r="H73" s="120" t="n">
        <v>1</v>
      </c>
      <c r="I73" s="118" t="n">
        <v>1</v>
      </c>
      <c r="J73" s="80" t="n">
        <v>220</v>
      </c>
      <c r="K73" s="85" t="n">
        <v>99000</v>
      </c>
      <c r="L73" s="85" t="n">
        <v>125400</v>
      </c>
      <c r="M73" s="119" t="n"/>
    </row>
    <row r="74" ht="14" customHeight="1" s="69">
      <c r="A74" s="91" t="inlineStr">
        <is>
          <t>계</t>
        </is>
      </c>
      <c r="B74" s="122" t="n"/>
      <c r="C74" s="108" t="inlineStr">
        <is>
          <t>71개 라인</t>
        </is>
      </c>
      <c r="D74" s="93" t="n">
        <v>67</v>
      </c>
      <c r="E74" s="93" t="n">
        <v>121</v>
      </c>
      <c r="F74" s="93" t="n">
        <v>54</v>
      </c>
      <c r="G74" s="93" t="n">
        <v>58</v>
      </c>
      <c r="H74" s="123" t="n">
        <v>13</v>
      </c>
      <c r="I74" s="123" t="n">
        <v>63</v>
      </c>
      <c r="J74" s="93" t="n">
        <v>3093</v>
      </c>
      <c r="K74" s="96" t="n">
        <v>1391850</v>
      </c>
      <c r="L74" s="96" t="n">
        <v>1763010</v>
      </c>
      <c r="M74" s="104" t="inlineStr">
        <is>
          <t>중복 3행 포함 값 — 중복 제거 시 필요 OP 64.5 / 가용 51.5, 부족 13.0 동일</t>
        </is>
      </c>
    </row>
  </sheetData>
  <mergeCells count="1">
    <mergeCell ref="A1:M1"/>
  </mergeCells>
  <pageMargins left="0.2" right="0.2" top="0.25" bottom="0.2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U49"/>
  <sheetViews>
    <sheetView showGridLines="0" zoomScale="55" zoomScaleNormal="55" workbookViewId="0">
      <pane ySplit="3" topLeftCell="A10" activePane="bottomLeft" state="frozen"/>
      <selection pane="bottomLeft" activeCell="W16" sqref="W16"/>
    </sheetView>
  </sheetViews>
  <sheetFormatPr baseColWidth="8" defaultColWidth="8.69921875" defaultRowHeight="23.25" customHeight="1"/>
  <cols>
    <col width="4.19921875" customWidth="1" style="9" min="1" max="1"/>
    <col width="5" bestFit="1" customWidth="1" style="9" min="2" max="2"/>
    <col width="14.5" customWidth="1" style="9" min="3" max="3"/>
    <col width="19.09765625" customWidth="1" style="9" min="4" max="4"/>
    <col width="14.59765625" customWidth="1" style="9" min="5" max="10"/>
    <col width="13.69921875" customWidth="1" style="9" min="11" max="13"/>
    <col width="11.3984375" customWidth="1" style="9" min="14" max="14"/>
    <col width="22.69921875" customWidth="1" style="9" min="15" max="15"/>
    <col width="8.69921875" customWidth="1" style="9" min="16" max="16384"/>
  </cols>
  <sheetData>
    <row r="2" ht="23.25" customHeight="1" s="69">
      <c r="B2" s="42" t="inlineStr">
        <is>
          <t>구분</t>
        </is>
      </c>
      <c r="C2" s="124" t="n"/>
      <c r="D2" s="42" t="inlineStr">
        <is>
          <t>라인명</t>
        </is>
      </c>
      <c r="E2" s="42" t="inlineStr">
        <is>
          <t>표준 필요 인원</t>
        </is>
      </c>
      <c r="F2" s="125" t="n"/>
      <c r="G2" s="42" t="inlineStr">
        <is>
          <t>현재 가용 인원</t>
        </is>
      </c>
      <c r="H2" s="125" t="n"/>
      <c r="I2" s="42" t="inlineStr">
        <is>
          <t>인원 차이 (+/–)</t>
        </is>
      </c>
      <c r="J2" s="125" t="n"/>
      <c r="K2" s="42" t="inlineStr">
        <is>
          <t>CAPA</t>
        </is>
      </c>
      <c r="L2" s="126" t="n"/>
      <c r="M2" s="125" t="n"/>
      <c r="N2" s="42" t="inlineStr">
        <is>
          <t>비고</t>
        </is>
      </c>
    </row>
    <row r="3" ht="23.25" customHeight="1" s="69">
      <c r="B3" s="127" t="n"/>
      <c r="C3" s="128" t="n"/>
      <c r="D3" s="129" t="n"/>
      <c r="E3" s="42" t="inlineStr">
        <is>
          <t>OP</t>
        </is>
      </c>
      <c r="F3" s="42" t="inlineStr">
        <is>
          <t>작업자</t>
        </is>
      </c>
      <c r="G3" s="42" t="inlineStr">
        <is>
          <t>OP</t>
        </is>
      </c>
      <c r="H3" s="42" t="inlineStr">
        <is>
          <t>작업자</t>
        </is>
      </c>
      <c r="I3" s="42" t="inlineStr">
        <is>
          <t>OP</t>
        </is>
      </c>
      <c r="J3" s="20" t="inlineStr">
        <is>
          <t>작업자(부족)</t>
        </is>
      </c>
      <c r="K3" s="42" t="inlineStr">
        <is>
          <t>분</t>
        </is>
      </c>
      <c r="L3" s="42" t="inlineStr">
        <is>
          <t>정상</t>
        </is>
      </c>
      <c r="M3" s="42" t="inlineStr">
        <is>
          <t>잔업</t>
        </is>
      </c>
      <c r="N3" s="129" t="n"/>
    </row>
    <row r="4" ht="23.25" customHeight="1" s="69">
      <c r="B4" s="11" t="n">
        <v>1</v>
      </c>
      <c r="C4" s="33" t="inlineStr">
        <is>
          <t>직선</t>
        </is>
      </c>
      <c r="D4" s="11" t="inlineStr">
        <is>
          <t>직선4호</t>
        </is>
      </c>
      <c r="E4" s="11" t="n">
        <v>1</v>
      </c>
      <c r="F4" s="17" t="n">
        <v>2</v>
      </c>
      <c r="G4" s="18" t="n">
        <v>1</v>
      </c>
      <c r="H4" s="17" t="n">
        <v>0</v>
      </c>
      <c r="I4" s="11">
        <f>E4-G4</f>
        <v/>
      </c>
      <c r="J4" s="11">
        <f>F4-H4</f>
        <v/>
      </c>
      <c r="K4" s="11" t="n">
        <v>48</v>
      </c>
      <c r="L4" s="130">
        <f>K4*450</f>
        <v/>
      </c>
      <c r="M4" s="130">
        <f>K4*570</f>
        <v/>
      </c>
      <c r="N4" s="11" t="n"/>
    </row>
    <row r="5" ht="23.25" customHeight="1" s="69">
      <c r="B5" s="11" t="n">
        <v>2</v>
      </c>
      <c r="C5" s="131" t="n"/>
      <c r="D5" s="11" t="inlineStr">
        <is>
          <t>직선5호</t>
        </is>
      </c>
      <c r="E5" s="11" t="n">
        <v>1</v>
      </c>
      <c r="F5" s="17" t="n">
        <v>5</v>
      </c>
      <c r="G5" s="17" t="n">
        <v>1</v>
      </c>
      <c r="H5" s="17" t="n">
        <v>3</v>
      </c>
      <c r="I5" s="11">
        <f>E5-G5</f>
        <v/>
      </c>
      <c r="J5" s="11">
        <f>F5-H5</f>
        <v/>
      </c>
      <c r="K5" s="11" t="n">
        <v>54</v>
      </c>
      <c r="L5" s="130">
        <f>K5*450</f>
        <v/>
      </c>
      <c r="M5" s="130">
        <f>K5*570</f>
        <v/>
      </c>
      <c r="N5" s="23" t="inlineStr">
        <is>
          <t>+1</t>
        </is>
      </c>
      <c r="O5" s="24" t="inlineStr">
        <is>
          <t>품목에 따라 추가</t>
        </is>
      </c>
    </row>
    <row r="6" ht="23.25" customHeight="1" s="69">
      <c r="B6" s="11" t="n">
        <v>3</v>
      </c>
      <c r="C6" s="131" t="n"/>
      <c r="D6" s="11" t="inlineStr">
        <is>
          <t>직선11호</t>
        </is>
      </c>
      <c r="E6" s="11" t="n">
        <v>1</v>
      </c>
      <c r="F6" s="17" t="n">
        <v>6</v>
      </c>
      <c r="G6" s="17" t="n">
        <v>1</v>
      </c>
      <c r="H6" s="17" t="n">
        <v>3</v>
      </c>
      <c r="I6" s="11">
        <f>E6-G6</f>
        <v/>
      </c>
      <c r="J6" s="11">
        <f>F6-H6</f>
        <v/>
      </c>
      <c r="K6" s="14" t="n">
        <v>36</v>
      </c>
      <c r="L6" s="130">
        <f>K6*450</f>
        <v/>
      </c>
      <c r="M6" s="130">
        <f>K6*570</f>
        <v/>
      </c>
      <c r="N6" s="11" t="n"/>
    </row>
    <row r="7" ht="23.25" customHeight="1" s="69">
      <c r="B7" s="11" t="n">
        <v>4</v>
      </c>
      <c r="C7" s="131" t="n"/>
      <c r="D7" s="11" t="inlineStr">
        <is>
          <t>직선13호</t>
        </is>
      </c>
      <c r="E7" s="11" t="n">
        <v>1</v>
      </c>
      <c r="F7" s="17" t="n">
        <v>6</v>
      </c>
      <c r="G7" s="17" t="n">
        <v>1</v>
      </c>
      <c r="H7" s="17" t="n">
        <v>4</v>
      </c>
      <c r="I7" s="11">
        <f>E7-G7</f>
        <v/>
      </c>
      <c r="J7" s="11">
        <f>F7-H7</f>
        <v/>
      </c>
      <c r="K7" s="11" t="n">
        <v>58</v>
      </c>
      <c r="L7" s="130">
        <f>K7*450</f>
        <v/>
      </c>
      <c r="M7" s="130">
        <f>K7*570</f>
        <v/>
      </c>
      <c r="N7" s="23" t="inlineStr">
        <is>
          <t>+1</t>
        </is>
      </c>
    </row>
    <row r="8" ht="23.25" customHeight="1" s="69">
      <c r="B8" s="11" t="n">
        <v>5</v>
      </c>
      <c r="C8" s="131" t="n"/>
      <c r="D8" s="11" t="inlineStr">
        <is>
          <t>직선14호</t>
        </is>
      </c>
      <c r="E8" s="11" t="n">
        <v>1</v>
      </c>
      <c r="F8" s="17" t="n">
        <v>6</v>
      </c>
      <c r="G8" s="17" t="n">
        <v>1</v>
      </c>
      <c r="H8" s="17" t="n">
        <v>4</v>
      </c>
      <c r="I8" s="11">
        <f>E8-G8</f>
        <v/>
      </c>
      <c r="J8" s="11">
        <f>F8-H8</f>
        <v/>
      </c>
      <c r="K8" s="12" t="n">
        <v>54</v>
      </c>
      <c r="L8" s="130">
        <f>K8*450</f>
        <v/>
      </c>
      <c r="M8" s="130">
        <f>K8*570</f>
        <v/>
      </c>
      <c r="N8" s="23" t="inlineStr">
        <is>
          <t>+1</t>
        </is>
      </c>
    </row>
    <row r="9" ht="23.25" customHeight="1" s="69">
      <c r="B9" s="11" t="n">
        <v>6</v>
      </c>
      <c r="C9" s="131" t="n"/>
      <c r="D9" s="11" t="inlineStr">
        <is>
          <t>직선15호</t>
        </is>
      </c>
      <c r="E9" s="11" t="n">
        <v>1</v>
      </c>
      <c r="F9" s="17" t="n">
        <v>5</v>
      </c>
      <c r="G9" s="17" t="n">
        <v>1</v>
      </c>
      <c r="H9" s="17" t="n">
        <v>3</v>
      </c>
      <c r="I9" s="11">
        <f>E9-G9</f>
        <v/>
      </c>
      <c r="J9" s="11">
        <f>F9-H9</f>
        <v/>
      </c>
      <c r="K9" s="11" t="n">
        <v>40</v>
      </c>
      <c r="L9" s="130">
        <f>K9*450</f>
        <v/>
      </c>
      <c r="M9" s="130">
        <f>K9*570</f>
        <v/>
      </c>
      <c r="N9" s="11" t="n"/>
    </row>
    <row r="10" ht="23.25" customHeight="1" s="69">
      <c r="B10" s="11" t="n">
        <v>7</v>
      </c>
      <c r="C10" s="131" t="n"/>
      <c r="D10" s="11" t="inlineStr">
        <is>
          <t>직선16호</t>
        </is>
      </c>
      <c r="E10" s="11" t="n">
        <v>1</v>
      </c>
      <c r="F10" s="17" t="n">
        <v>7</v>
      </c>
      <c r="G10" s="17" t="n">
        <v>1</v>
      </c>
      <c r="H10" s="17" t="n">
        <v>4</v>
      </c>
      <c r="I10" s="11">
        <f>E10-G10</f>
        <v/>
      </c>
      <c r="J10" s="11">
        <f>F10-H10</f>
        <v/>
      </c>
      <c r="K10" s="11" t="n">
        <v>68</v>
      </c>
      <c r="L10" s="130">
        <f>K10*450</f>
        <v/>
      </c>
      <c r="M10" s="130">
        <f>K10*570</f>
        <v/>
      </c>
      <c r="N10" s="23" t="inlineStr">
        <is>
          <t>+1</t>
        </is>
      </c>
    </row>
    <row r="11" ht="23.25" customHeight="1" s="69">
      <c r="B11" s="11" t="n">
        <v>8</v>
      </c>
      <c r="C11" s="131" t="n"/>
      <c r="D11" s="11" t="inlineStr">
        <is>
          <t>동기화 직선14호</t>
        </is>
      </c>
      <c r="E11" s="11" t="n"/>
      <c r="F11" s="17" t="n">
        <v>1</v>
      </c>
      <c r="G11" s="17" t="n"/>
      <c r="H11" s="17" t="n"/>
      <c r="I11" s="11">
        <f>E11-G11</f>
        <v/>
      </c>
      <c r="J11" s="11">
        <f>F11-H11</f>
        <v/>
      </c>
      <c r="K11" s="12" t="n">
        <v>50</v>
      </c>
      <c r="L11" s="130">
        <f>K11*450</f>
        <v/>
      </c>
      <c r="M11" s="130">
        <f>K11*570</f>
        <v/>
      </c>
      <c r="N11" s="11" t="n"/>
      <c r="O11" s="1" t="inlineStr">
        <is>
          <t>일부 품목은 분당 케파 낮은 품목도 있음
(직선.리필.멀티.텐테이블 동일)</t>
        </is>
      </c>
    </row>
    <row r="12" ht="23.25" customHeight="1" s="69">
      <c r="B12" s="11" t="n">
        <v>9</v>
      </c>
      <c r="C12" s="131" t="n"/>
      <c r="D12" s="11" t="inlineStr">
        <is>
          <t>리필3호</t>
        </is>
      </c>
      <c r="E12" s="11" t="n">
        <v>1</v>
      </c>
      <c r="F12" s="17" t="n">
        <v>2</v>
      </c>
      <c r="G12" s="17" t="n">
        <v>1</v>
      </c>
      <c r="H12" s="17" t="n">
        <v>2</v>
      </c>
      <c r="I12" s="11">
        <f>E12-G12</f>
        <v/>
      </c>
      <c r="J12" s="11">
        <f>F12-H12</f>
        <v/>
      </c>
      <c r="K12" s="11" t="n">
        <v>20</v>
      </c>
      <c r="L12" s="130">
        <f>K12*450</f>
        <v/>
      </c>
      <c r="M12" s="130">
        <f>K12*570</f>
        <v/>
      </c>
      <c r="N12" s="11" t="n"/>
      <c r="O12" s="132" t="n"/>
    </row>
    <row r="13" ht="23.25" customHeight="1" s="69">
      <c r="B13" s="11" t="n">
        <v>10</v>
      </c>
      <c r="C13" s="129" t="n"/>
      <c r="D13" s="11" t="inlineStr">
        <is>
          <t>대용량 충전</t>
        </is>
      </c>
      <c r="E13" s="11" t="n">
        <v>1</v>
      </c>
      <c r="F13" s="17" t="n">
        <v>2</v>
      </c>
      <c r="G13" s="18" t="inlineStr">
        <is>
          <t>중복가능</t>
        </is>
      </c>
      <c r="H13" s="17" t="n">
        <v>0</v>
      </c>
      <c r="I13" s="11" t="n">
        <v>0</v>
      </c>
      <c r="J13" s="11">
        <f>F13-H13</f>
        <v/>
      </c>
      <c r="K13" s="11" t="n">
        <v>7</v>
      </c>
      <c r="L13" s="130">
        <f>K13*450</f>
        <v/>
      </c>
      <c r="M13" s="130">
        <f>K13*570</f>
        <v/>
      </c>
      <c r="N13" s="11" t="n"/>
      <c r="O13" s="132" t="n"/>
    </row>
    <row r="14" ht="23.25" customHeight="1" s="69">
      <c r="B14" s="11" t="n">
        <v>11</v>
      </c>
      <c r="C14" s="33" t="inlineStr">
        <is>
          <t>초격차</t>
        </is>
      </c>
      <c r="D14" s="11" t="inlineStr">
        <is>
          <t>세정초격차 1호</t>
        </is>
      </c>
      <c r="E14" s="11" t="n">
        <v>2</v>
      </c>
      <c r="F14" s="17" t="n">
        <v>2</v>
      </c>
      <c r="G14" s="17" t="n">
        <v>2</v>
      </c>
      <c r="H14" s="17" t="n">
        <v>2</v>
      </c>
      <c r="I14" s="11">
        <f>E14-G14</f>
        <v/>
      </c>
      <c r="J14" s="11">
        <f>F14-H14</f>
        <v/>
      </c>
      <c r="K14" s="11" t="n">
        <v>36</v>
      </c>
      <c r="L14" s="130">
        <f>K14*450</f>
        <v/>
      </c>
      <c r="M14" s="130">
        <f>K14*570</f>
        <v/>
      </c>
      <c r="N14" s="11" t="n"/>
      <c r="O14" s="22" t="n"/>
      <c r="P14" s="21" t="n"/>
      <c r="Q14" s="21" t="inlineStr">
        <is>
          <t>OP : 29명 / 교육생+품목교체 도우미 2명(육성민,최현경)</t>
        </is>
      </c>
      <c r="R14" s="22" t="n"/>
      <c r="S14" s="22" t="n"/>
      <c r="T14" s="22" t="n"/>
      <c r="U14" s="22" t="n"/>
    </row>
    <row r="15" ht="23.25" customHeight="1" s="69">
      <c r="B15" s="11" t="n">
        <v>12</v>
      </c>
      <c r="C15" s="131" t="n"/>
      <c r="D15" s="11" t="inlineStr">
        <is>
          <t>세정초격차 2호</t>
        </is>
      </c>
      <c r="E15" s="11" t="n">
        <v>2</v>
      </c>
      <c r="F15" s="17" t="n">
        <v>2</v>
      </c>
      <c r="G15" s="17" t="n">
        <v>2</v>
      </c>
      <c r="H15" s="17" t="n">
        <v>2</v>
      </c>
      <c r="I15" s="11">
        <f>E15-G15</f>
        <v/>
      </c>
      <c r="J15" s="11">
        <f>F15-H15</f>
        <v/>
      </c>
      <c r="K15" s="11" t="n">
        <v>36</v>
      </c>
      <c r="L15" s="130">
        <f>K15*450</f>
        <v/>
      </c>
      <c r="M15" s="130">
        <f>K15*570</f>
        <v/>
      </c>
      <c r="N15" s="11" t="n"/>
      <c r="O15" s="22" t="n"/>
      <c r="P15" s="22" t="n"/>
      <c r="Q15" s="22" t="inlineStr">
        <is>
          <t>라인원 : 46명</t>
        </is>
      </c>
      <c r="R15" s="22" t="n"/>
      <c r="S15" s="22" t="n"/>
      <c r="T15" s="22" t="n"/>
      <c r="U15" s="22" t="n"/>
    </row>
    <row r="16" ht="23.25" customHeight="1" s="69">
      <c r="B16" s="11" t="n">
        <v>13</v>
      </c>
      <c r="C16" s="131" t="n"/>
      <c r="D16" s="11" t="inlineStr">
        <is>
          <t>세정초격차 3호</t>
        </is>
      </c>
      <c r="E16" s="11" t="n">
        <v>2</v>
      </c>
      <c r="F16" s="17" t="n">
        <v>3</v>
      </c>
      <c r="G16" s="17" t="n">
        <v>2</v>
      </c>
      <c r="H16" s="17" t="n">
        <v>3</v>
      </c>
      <c r="I16" s="11">
        <f>E16-G16</f>
        <v/>
      </c>
      <c r="J16" s="11">
        <f>F16-H16</f>
        <v/>
      </c>
      <c r="K16" s="11" t="n">
        <v>36</v>
      </c>
      <c r="L16" s="130">
        <f>K16*450</f>
        <v/>
      </c>
      <c r="M16" s="130">
        <f>K16*570</f>
        <v/>
      </c>
      <c r="N16" s="11" t="n"/>
      <c r="O16" s="22" t="n"/>
      <c r="P16" s="22" t="n"/>
      <c r="Q16" s="22" t="inlineStr">
        <is>
          <t>현재 외인원 전체 : 21~23명</t>
        </is>
      </c>
      <c r="R16" s="22" t="n"/>
      <c r="S16" s="22" t="n"/>
      <c r="T16" s="22" t="n"/>
      <c r="U16" s="22" t="n"/>
    </row>
    <row r="17" ht="23.25" customHeight="1" s="69">
      <c r="B17" s="11" t="n">
        <v>14</v>
      </c>
      <c r="C17" s="129" t="n"/>
      <c r="D17" s="11" t="inlineStr">
        <is>
          <t>세정초격차 4호</t>
        </is>
      </c>
      <c r="E17" s="11" t="n">
        <v>2</v>
      </c>
      <c r="F17" s="17" t="n">
        <v>4</v>
      </c>
      <c r="G17" s="17" t="n">
        <v>2</v>
      </c>
      <c r="H17" s="17" t="n">
        <v>4</v>
      </c>
      <c r="I17" s="11">
        <f>E17-G17</f>
        <v/>
      </c>
      <c r="J17" s="11">
        <f>F17-H17</f>
        <v/>
      </c>
      <c r="K17" s="11" t="n">
        <v>36</v>
      </c>
      <c r="L17" s="130">
        <f>K17*450</f>
        <v/>
      </c>
      <c r="M17" s="130">
        <f>K17*570</f>
        <v/>
      </c>
      <c r="N17" s="11" t="n"/>
    </row>
    <row r="18" ht="23.25" customHeight="1" s="69">
      <c r="B18" s="11" t="n">
        <v>15</v>
      </c>
      <c r="C18" s="33" t="inlineStr">
        <is>
          <t>멀티</t>
        </is>
      </c>
      <c r="D18" s="11" t="inlineStr">
        <is>
          <t>멀티셀2호</t>
        </is>
      </c>
      <c r="E18" s="11" t="n">
        <v>1</v>
      </c>
      <c r="F18" s="17" t="n">
        <v>1</v>
      </c>
      <c r="G18" s="19" t="n">
        <v>1</v>
      </c>
      <c r="H18" s="19" t="n">
        <v>0</v>
      </c>
      <c r="I18" s="11">
        <f>E18-G18</f>
        <v/>
      </c>
      <c r="J18" s="11">
        <f>F18-H18</f>
        <v/>
      </c>
      <c r="K18" s="11" t="n">
        <v>17</v>
      </c>
      <c r="L18" s="130">
        <f>K18*450</f>
        <v/>
      </c>
      <c r="M18" s="130">
        <f>K18*570</f>
        <v/>
      </c>
      <c r="N18" s="11" t="n"/>
    </row>
    <row r="19" ht="23.25" customHeight="1" s="69">
      <c r="B19" s="11" t="n">
        <v>16</v>
      </c>
      <c r="C19" s="131" t="n"/>
      <c r="D19" s="11" t="inlineStr">
        <is>
          <t>멀티셀3호</t>
        </is>
      </c>
      <c r="E19" s="11" t="n">
        <v>1</v>
      </c>
      <c r="F19" s="17" t="n">
        <v>1</v>
      </c>
      <c r="G19" s="19" t="n">
        <v>1</v>
      </c>
      <c r="H19" s="19" t="n">
        <v>1</v>
      </c>
      <c r="I19" s="11">
        <f>E19-G19</f>
        <v/>
      </c>
      <c r="J19" s="11">
        <f>F19-H19</f>
        <v/>
      </c>
      <c r="K19" s="11" t="n">
        <v>17</v>
      </c>
      <c r="L19" s="130">
        <f>K19*450</f>
        <v/>
      </c>
      <c r="M19" s="130">
        <f>K19*570</f>
        <v/>
      </c>
      <c r="N19" s="23" t="inlineStr">
        <is>
          <t>+1</t>
        </is>
      </c>
    </row>
    <row r="20" ht="23.25" customHeight="1" s="69">
      <c r="B20" s="11" t="n">
        <v>17</v>
      </c>
      <c r="C20" s="131" t="n"/>
      <c r="D20" s="11" t="inlineStr">
        <is>
          <t>멀티셀6호</t>
        </is>
      </c>
      <c r="E20" s="11" t="n">
        <v>1</v>
      </c>
      <c r="F20" s="17" t="n">
        <v>3</v>
      </c>
      <c r="G20" s="17" t="n">
        <v>1</v>
      </c>
      <c r="H20" s="17" t="n">
        <v>2</v>
      </c>
      <c r="I20" s="11">
        <f>E20-G20</f>
        <v/>
      </c>
      <c r="J20" s="11">
        <f>F20-H20</f>
        <v/>
      </c>
      <c r="K20" s="11" t="n">
        <v>35</v>
      </c>
      <c r="L20" s="130">
        <f>K20*450</f>
        <v/>
      </c>
      <c r="M20" s="130">
        <f>K20*570</f>
        <v/>
      </c>
      <c r="N20" s="11" t="n"/>
      <c r="O20" s="31" t="n"/>
      <c r="R20" s="25" t="n"/>
    </row>
    <row r="21" ht="23.25" customHeight="1" s="69">
      <c r="B21" s="11" t="n">
        <v>18</v>
      </c>
      <c r="C21" s="131" t="n"/>
      <c r="D21" s="11" t="inlineStr">
        <is>
          <t>멀티셀7호</t>
        </is>
      </c>
      <c r="E21" s="11" t="n">
        <v>1</v>
      </c>
      <c r="F21" s="17" t="n">
        <v>3</v>
      </c>
      <c r="G21" s="19" t="n">
        <v>1</v>
      </c>
      <c r="H21" s="17" t="n">
        <v>3</v>
      </c>
      <c r="I21" s="11">
        <f>E21-G21</f>
        <v/>
      </c>
      <c r="J21" s="11">
        <f>F21-H21</f>
        <v/>
      </c>
      <c r="K21" s="11" t="n">
        <v>35</v>
      </c>
      <c r="L21" s="130">
        <f>K21*450</f>
        <v/>
      </c>
      <c r="M21" s="130">
        <f>K21*570</f>
        <v/>
      </c>
      <c r="N21" s="11" t="n"/>
      <c r="O21" s="132" t="n"/>
      <c r="R21" s="25" t="n"/>
    </row>
    <row r="22" ht="23.25" customHeight="1" s="69">
      <c r="B22" s="11" t="n">
        <v>19</v>
      </c>
      <c r="C22" s="131" t="n"/>
      <c r="D22" s="11" t="inlineStr">
        <is>
          <t>멀티셀8호</t>
        </is>
      </c>
      <c r="E22" s="11" t="n">
        <v>1</v>
      </c>
      <c r="F22" s="17" t="n">
        <v>3</v>
      </c>
      <c r="G22" s="19" t="n">
        <v>1</v>
      </c>
      <c r="H22" s="17" t="n">
        <v>2</v>
      </c>
      <c r="I22" s="11">
        <f>E22-G22</f>
        <v/>
      </c>
      <c r="J22" s="11">
        <f>F22-H22</f>
        <v/>
      </c>
      <c r="K22" s="11" t="n">
        <v>35</v>
      </c>
      <c r="L22" s="130">
        <f>K22*450</f>
        <v/>
      </c>
      <c r="M22" s="130">
        <f>K22*570</f>
        <v/>
      </c>
      <c r="N22" s="11" t="n"/>
      <c r="O22" s="132" t="n"/>
      <c r="R22" s="25" t="n"/>
    </row>
    <row r="23" ht="23.25" customHeight="1" s="69">
      <c r="B23" s="11" t="n">
        <v>20</v>
      </c>
      <c r="C23" s="129" t="n"/>
      <c r="D23" s="11" t="inlineStr">
        <is>
          <t>세럼충전기</t>
        </is>
      </c>
      <c r="E23" s="11" t="n">
        <v>1</v>
      </c>
      <c r="F23" s="17" t="n"/>
      <c r="G23" s="17" t="n">
        <v>1</v>
      </c>
      <c r="H23" s="17" t="n"/>
      <c r="I23" s="11">
        <f>E23-G23</f>
        <v/>
      </c>
      <c r="J23" s="11">
        <f>F23-H23</f>
        <v/>
      </c>
      <c r="K23" s="11" t="n">
        <v>35</v>
      </c>
      <c r="L23" s="130">
        <f>K23*450</f>
        <v/>
      </c>
      <c r="M23" s="130">
        <f>K23*570</f>
        <v/>
      </c>
      <c r="N23" s="11" t="n"/>
      <c r="O23" s="32" t="n"/>
      <c r="P23" s="32" t="n"/>
      <c r="Q23" s="32" t="n"/>
      <c r="R23" s="32" t="n"/>
    </row>
    <row r="24" ht="23.25" customHeight="1" s="69">
      <c r="B24" s="11" t="n">
        <v>21</v>
      </c>
      <c r="C24" s="33" t="inlineStr">
        <is>
          <t>HnB 기타</t>
        </is>
      </c>
      <c r="D24" s="11" t="inlineStr">
        <is>
          <t>크림2호</t>
        </is>
      </c>
      <c r="E24" s="11" t="n">
        <v>1</v>
      </c>
      <c r="F24" s="17" t="n">
        <v>3</v>
      </c>
      <c r="G24" s="17" t="n">
        <v>1</v>
      </c>
      <c r="H24" s="17" t="n">
        <v>0</v>
      </c>
      <c r="I24" s="11">
        <f>E24-G24</f>
        <v/>
      </c>
      <c r="J24" s="11">
        <f>F24-H24</f>
        <v/>
      </c>
      <c r="K24" s="11" t="n">
        <v>12</v>
      </c>
      <c r="L24" s="130">
        <f>K24*450</f>
        <v/>
      </c>
      <c r="M24" s="130">
        <f>K24*570</f>
        <v/>
      </c>
      <c r="N24" s="11" t="n"/>
      <c r="O24" s="32" t="n"/>
      <c r="P24" s="32" t="n"/>
      <c r="Q24" s="32" t="n"/>
      <c r="R24" s="32" t="n"/>
    </row>
    <row r="25" ht="23.25" customHeight="1" s="69">
      <c r="B25" s="11" t="n">
        <v>22</v>
      </c>
      <c r="C25" s="131" t="n"/>
      <c r="D25" s="11" t="inlineStr">
        <is>
          <t>크림3호</t>
        </is>
      </c>
      <c r="E25" s="11" t="n">
        <v>1</v>
      </c>
      <c r="F25" s="17" t="n">
        <v>3</v>
      </c>
      <c r="G25" s="17" t="n">
        <v>1</v>
      </c>
      <c r="H25" s="17" t="n">
        <v>0</v>
      </c>
      <c r="I25" s="11">
        <f>E25-G25</f>
        <v/>
      </c>
      <c r="J25" s="11">
        <f>F25-H25</f>
        <v/>
      </c>
      <c r="K25" s="11" t="n">
        <v>13</v>
      </c>
      <c r="L25" s="130">
        <f>K25*450</f>
        <v/>
      </c>
      <c r="M25" s="130">
        <f>K25*570</f>
        <v/>
      </c>
      <c r="N25" s="11" t="n"/>
      <c r="O25" s="32" t="n"/>
      <c r="P25" s="32" t="n"/>
      <c r="Q25" s="32" t="n"/>
      <c r="R25" s="32" t="n"/>
    </row>
    <row r="26" ht="23.25" customHeight="1" s="69">
      <c r="B26" s="11" t="n">
        <v>23</v>
      </c>
      <c r="C26" s="131" t="n"/>
      <c r="D26" s="11" t="inlineStr">
        <is>
          <t>손소독제 라인</t>
        </is>
      </c>
      <c r="E26" s="11" t="n"/>
      <c r="F26" s="17" t="n"/>
      <c r="G26" s="17" t="n"/>
      <c r="H26" s="17" t="n"/>
      <c r="I26" s="11">
        <f>E26-G26</f>
        <v/>
      </c>
      <c r="J26" s="11">
        <f>F26-H26</f>
        <v/>
      </c>
      <c r="K26" s="11" t="n"/>
      <c r="L26" s="130">
        <f>K26*450</f>
        <v/>
      </c>
      <c r="M26" s="130">
        <f>K26*570</f>
        <v/>
      </c>
      <c r="N26" s="11" t="n"/>
      <c r="O26" s="32" t="n"/>
      <c r="P26" s="32" t="n"/>
      <c r="Q26" s="32" t="n"/>
      <c r="R26" s="32" t="n"/>
    </row>
    <row r="27" ht="23.25" customHeight="1" s="69">
      <c r="B27" s="11" t="n">
        <v>24</v>
      </c>
      <c r="C27" s="131" t="n"/>
      <c r="D27" s="11" t="inlineStr">
        <is>
          <t>팜플1호</t>
        </is>
      </c>
      <c r="E27" s="11" t="n">
        <v>1</v>
      </c>
      <c r="F27" s="11" t="n"/>
      <c r="G27" s="16" t="n">
        <v>1</v>
      </c>
      <c r="H27" s="11" t="n"/>
      <c r="I27" s="11">
        <f>E27-G27</f>
        <v/>
      </c>
      <c r="J27" s="11">
        <f>F27-H27</f>
        <v/>
      </c>
      <c r="K27" s="11" t="n">
        <v>110</v>
      </c>
      <c r="L27" s="130">
        <f>K27*450</f>
        <v/>
      </c>
      <c r="M27" s="130">
        <f>K27*570</f>
        <v/>
      </c>
      <c r="N27" s="11" t="n"/>
      <c r="O27" s="31" t="n"/>
      <c r="R27" s="32" t="n"/>
    </row>
    <row r="28" ht="23.25" customHeight="1" s="69">
      <c r="B28" s="11" t="n">
        <v>25</v>
      </c>
      <c r="C28" s="131" t="n"/>
      <c r="D28" s="11" t="inlineStr">
        <is>
          <t>팜플2호(FNC)</t>
        </is>
      </c>
      <c r="E28" s="11" t="n"/>
      <c r="F28" s="11" t="n"/>
      <c r="G28" s="11" t="n"/>
      <c r="H28" s="11" t="n"/>
      <c r="I28" s="11">
        <f>E28-G28</f>
        <v/>
      </c>
      <c r="J28" s="11">
        <f>F28-H28</f>
        <v/>
      </c>
      <c r="K28" s="11" t="n"/>
      <c r="L28" s="130">
        <f>K28*450</f>
        <v/>
      </c>
      <c r="M28" s="130">
        <f>K28*570</f>
        <v/>
      </c>
      <c r="N28" s="11" t="n"/>
      <c r="O28" s="32" t="n"/>
      <c r="P28" s="32" t="n"/>
      <c r="Q28" s="32" t="n"/>
      <c r="R28" s="32" t="n"/>
    </row>
    <row r="29" ht="23.25" customHeight="1" s="69">
      <c r="B29" s="11" t="n">
        <v>26</v>
      </c>
      <c r="C29" s="131" t="n"/>
      <c r="D29" s="11" t="inlineStr">
        <is>
          <t>팜플3호</t>
        </is>
      </c>
      <c r="E29" s="11" t="n">
        <v>1</v>
      </c>
      <c r="F29" s="11" t="n"/>
      <c r="G29" s="16" t="n">
        <v>0</v>
      </c>
      <c r="H29" s="11" t="n"/>
      <c r="I29" s="14">
        <f>E29-G29</f>
        <v/>
      </c>
      <c r="J29" s="11">
        <f>F29-H29</f>
        <v/>
      </c>
      <c r="K29" s="11" t="n">
        <v>110</v>
      </c>
      <c r="L29" s="130">
        <f>K29*450</f>
        <v/>
      </c>
      <c r="M29" s="130">
        <f>K29*570</f>
        <v/>
      </c>
      <c r="N29" s="11" t="n"/>
      <c r="O29" s="31" t="n"/>
      <c r="R29" s="32" t="n"/>
    </row>
    <row r="30" ht="23.25" customHeight="1" s="69">
      <c r="B30" s="11" t="n">
        <v>27</v>
      </c>
      <c r="C30" s="131" t="n"/>
      <c r="D30" s="11" t="inlineStr">
        <is>
          <t>팜플6호(FNC)</t>
        </is>
      </c>
      <c r="E30" s="11" t="n"/>
      <c r="F30" s="11" t="n"/>
      <c r="G30" s="11" t="n"/>
      <c r="H30" s="11" t="n"/>
      <c r="I30" s="11">
        <f>E30-G30</f>
        <v/>
      </c>
      <c r="J30" s="11">
        <f>F30-H30</f>
        <v/>
      </c>
      <c r="K30" s="11" t="n"/>
      <c r="L30" s="130">
        <f>K30*450</f>
        <v/>
      </c>
      <c r="M30" s="130">
        <f>K30*570</f>
        <v/>
      </c>
      <c r="N30" s="11" t="n"/>
      <c r="O30" s="32" t="n"/>
      <c r="P30" s="32" t="n"/>
      <c r="Q30" s="32" t="n"/>
      <c r="R30" s="32" t="n"/>
    </row>
    <row r="31" ht="23.25" customHeight="1" s="69">
      <c r="B31" s="11" t="n">
        <v>28</v>
      </c>
      <c r="C31" s="131" t="n"/>
      <c r="D31" s="11" t="inlineStr">
        <is>
          <t>팜플7호(FNC)</t>
        </is>
      </c>
      <c r="E31" s="11" t="n"/>
      <c r="F31" s="11" t="n"/>
      <c r="G31" s="11" t="n"/>
      <c r="H31" s="11" t="n"/>
      <c r="I31" s="11">
        <f>E31-G31</f>
        <v/>
      </c>
      <c r="J31" s="11">
        <f>F31-H31</f>
        <v/>
      </c>
      <c r="K31" s="11" t="n"/>
      <c r="L31" s="130">
        <f>K31*450</f>
        <v/>
      </c>
      <c r="M31" s="130">
        <f>K31*570</f>
        <v/>
      </c>
      <c r="N31" s="11" t="n"/>
      <c r="O31" s="32" t="n"/>
      <c r="P31" s="32" t="n"/>
      <c r="Q31" s="32" t="n"/>
      <c r="R31" s="32" t="n"/>
    </row>
    <row r="32" ht="23.25" customHeight="1" s="69">
      <c r="B32" s="11" t="n">
        <v>29</v>
      </c>
      <c r="C32" s="131" t="n"/>
      <c r="D32" s="11" t="inlineStr">
        <is>
          <t>팜플8호</t>
        </is>
      </c>
      <c r="E32" s="11" t="n">
        <v>1</v>
      </c>
      <c r="F32" s="11" t="n"/>
      <c r="G32" s="15" t="n">
        <v>1</v>
      </c>
      <c r="H32" s="11" t="n"/>
      <c r="I32" s="11">
        <f>E32-G32</f>
        <v/>
      </c>
      <c r="J32" s="11">
        <f>F32-H32</f>
        <v/>
      </c>
      <c r="K32" s="11" t="n">
        <v>110</v>
      </c>
      <c r="L32" s="130">
        <f>K32*450</f>
        <v/>
      </c>
      <c r="M32" s="130">
        <f>K32*570</f>
        <v/>
      </c>
      <c r="N32" s="11" t="n"/>
      <c r="O32" s="32" t="n"/>
      <c r="P32" s="32" t="n"/>
      <c r="Q32" s="32" t="n"/>
      <c r="R32" s="32" t="n"/>
    </row>
    <row r="33" ht="23.25" customHeight="1" s="69">
      <c r="B33" s="11" t="n">
        <v>30</v>
      </c>
      <c r="C33" s="131" t="n"/>
      <c r="D33" s="11" t="inlineStr">
        <is>
          <t>턴테이블1호</t>
        </is>
      </c>
      <c r="E33" s="11" t="n">
        <v>1</v>
      </c>
      <c r="F33" s="11" t="n">
        <v>3</v>
      </c>
      <c r="G33" s="16" t="n">
        <v>1</v>
      </c>
      <c r="H33" s="11" t="n">
        <v>2</v>
      </c>
      <c r="I33" s="11">
        <f>E33-G33</f>
        <v/>
      </c>
      <c r="J33" s="11">
        <f>F33-H33</f>
        <v/>
      </c>
      <c r="K33" s="11" t="n">
        <v>32</v>
      </c>
      <c r="L33" s="130">
        <f>K33*450</f>
        <v/>
      </c>
      <c r="M33" s="130">
        <f>K33*570</f>
        <v/>
      </c>
      <c r="N33" s="23" t="inlineStr">
        <is>
          <t>+1</t>
        </is>
      </c>
      <c r="O33" s="29" t="n"/>
      <c r="R33" s="32" t="n"/>
    </row>
    <row r="34" ht="23.25" customHeight="1" s="69">
      <c r="B34" s="11" t="n">
        <v>31</v>
      </c>
      <c r="C34" s="131" t="n"/>
      <c r="D34" s="11" t="inlineStr">
        <is>
          <t>턴테이블3호</t>
        </is>
      </c>
      <c r="E34" s="11" t="n">
        <v>1</v>
      </c>
      <c r="F34" s="11" t="n">
        <v>3</v>
      </c>
      <c r="G34" s="16" t="n">
        <v>1</v>
      </c>
      <c r="H34" s="11" t="n">
        <v>2</v>
      </c>
      <c r="I34" s="11">
        <f>E34-G34</f>
        <v/>
      </c>
      <c r="J34" s="11">
        <f>F34-H34</f>
        <v/>
      </c>
      <c r="K34" s="11" t="n">
        <v>32</v>
      </c>
      <c r="L34" s="130">
        <f>K34*450</f>
        <v/>
      </c>
      <c r="M34" s="130">
        <f>K34*570</f>
        <v/>
      </c>
      <c r="N34" s="11" t="n"/>
      <c r="O34" s="132" t="n"/>
      <c r="R34" s="32" t="n"/>
    </row>
    <row r="35" ht="23.25" customHeight="1" s="69">
      <c r="B35" s="11" t="n">
        <v>32</v>
      </c>
      <c r="C35" s="129" t="n"/>
      <c r="D35" s="11" t="inlineStr">
        <is>
          <t>턴테이블4호</t>
        </is>
      </c>
      <c r="E35" s="11" t="n">
        <v>1</v>
      </c>
      <c r="F35" s="11" t="n">
        <v>1</v>
      </c>
      <c r="G35" s="16" t="n">
        <v>0</v>
      </c>
      <c r="H35" s="11" t="n"/>
      <c r="I35" s="14">
        <f>E35-G35</f>
        <v/>
      </c>
      <c r="J35" s="11">
        <f>F35-H35</f>
        <v/>
      </c>
      <c r="K35" s="11" t="n">
        <v>32</v>
      </c>
      <c r="L35" s="130">
        <f>K35*450</f>
        <v/>
      </c>
      <c r="M35" s="130">
        <f>K35*570</f>
        <v/>
      </c>
      <c r="N35" s="11" t="n"/>
      <c r="O35" s="132" t="n"/>
      <c r="R35" s="32" t="n"/>
    </row>
    <row r="36" ht="23.25" customHeight="1" s="69">
      <c r="B36" s="11" t="n">
        <v>33</v>
      </c>
      <c r="C36" s="11" t="n"/>
      <c r="D36" s="11" t="n"/>
      <c r="E36" s="11" t="n"/>
      <c r="F36" s="11" t="n"/>
      <c r="G36" s="11" t="n"/>
      <c r="H36" s="11" t="n"/>
      <c r="I36" s="11">
        <f>E36-G36</f>
        <v/>
      </c>
      <c r="J36" s="11">
        <f>F36-H36</f>
        <v/>
      </c>
      <c r="K36" s="11" t="n"/>
      <c r="L36" s="133">
        <f>SUM(L4:L35)</f>
        <v/>
      </c>
      <c r="M36" s="133">
        <f>SUM(M4:M35)</f>
        <v/>
      </c>
      <c r="N36" s="11" t="n"/>
    </row>
    <row r="37" ht="23.25" customHeight="1" s="69">
      <c r="B37" s="11" t="n">
        <v>34</v>
      </c>
      <c r="C37" s="11" t="n"/>
      <c r="D37" s="11" t="n"/>
      <c r="E37" s="11" t="n"/>
      <c r="F37" s="11" t="n"/>
      <c r="G37" s="11" t="n"/>
      <c r="H37" s="11" t="n"/>
      <c r="I37" s="11">
        <f>E37-G37</f>
        <v/>
      </c>
      <c r="J37" s="11">
        <f>F37-H37</f>
        <v/>
      </c>
      <c r="K37" s="11" t="n"/>
      <c r="L37" s="133">
        <f>L36*5</f>
        <v/>
      </c>
      <c r="M37" s="133">
        <f>M36*5</f>
        <v/>
      </c>
      <c r="N37" s="11" t="n"/>
    </row>
    <row r="38" ht="23.25" customHeight="1" s="69">
      <c r="B38" s="11" t="n">
        <v>35</v>
      </c>
      <c r="C38" s="11" t="n"/>
      <c r="D38" s="11" t="n"/>
      <c r="E38" s="11" t="n"/>
      <c r="F38" s="11" t="n"/>
      <c r="G38" s="11" t="n"/>
      <c r="H38" s="11" t="n"/>
      <c r="I38" s="11">
        <f>E38-G38</f>
        <v/>
      </c>
      <c r="J38" s="11">
        <f>F38-H38</f>
        <v/>
      </c>
      <c r="K38" s="11" t="n"/>
      <c r="L38" s="130">
        <f>K38*450</f>
        <v/>
      </c>
      <c r="M38" s="130">
        <f>K38*570</f>
        <v/>
      </c>
      <c r="N38" s="11" t="n"/>
    </row>
    <row r="39" ht="23.25" customHeight="1" s="69">
      <c r="B39" s="11" t="n">
        <v>36</v>
      </c>
      <c r="C39" s="11" t="n"/>
      <c r="D39" s="11" t="n"/>
      <c r="E39" s="11" t="n"/>
      <c r="F39" s="11" t="n"/>
      <c r="G39" s="11" t="n"/>
      <c r="H39" s="11" t="n"/>
      <c r="I39" s="11">
        <f>E39-G39</f>
        <v/>
      </c>
      <c r="J39" s="11">
        <f>F39-H39</f>
        <v/>
      </c>
      <c r="K39" s="11" t="n"/>
      <c r="L39" s="130">
        <f>K39*450</f>
        <v/>
      </c>
      <c r="M39" s="130">
        <f>K39*570</f>
        <v/>
      </c>
      <c r="N39" s="11" t="n"/>
    </row>
    <row r="40" ht="23.25" customHeight="1" s="69">
      <c r="B40" s="11" t="n">
        <v>37</v>
      </c>
      <c r="C40" s="11" t="n"/>
      <c r="D40" s="11" t="n"/>
      <c r="E40" s="11" t="n"/>
      <c r="F40" s="11" t="n"/>
      <c r="G40" s="11" t="n"/>
      <c r="H40" s="11" t="n"/>
      <c r="I40" s="11">
        <f>E40-G40</f>
        <v/>
      </c>
      <c r="J40" s="11">
        <f>F40-H40</f>
        <v/>
      </c>
      <c r="K40" s="11" t="n"/>
      <c r="L40" s="130">
        <f>K40*450</f>
        <v/>
      </c>
      <c r="M40" s="130">
        <f>K40*570</f>
        <v/>
      </c>
      <c r="N40" s="11" t="n"/>
    </row>
    <row r="41" ht="23.25" customHeight="1" s="69">
      <c r="B41" s="11" t="n">
        <v>38</v>
      </c>
      <c r="C41" s="11" t="n"/>
      <c r="D41" s="11" t="n"/>
      <c r="E41" s="11" t="n"/>
      <c r="F41" s="11" t="n"/>
      <c r="G41" s="11" t="n"/>
      <c r="H41" s="11" t="n"/>
      <c r="I41" s="11">
        <f>E41-G41</f>
        <v/>
      </c>
      <c r="J41" s="11">
        <f>F41-H41</f>
        <v/>
      </c>
      <c r="K41" s="11" t="n"/>
      <c r="L41" s="130">
        <f>K41*450</f>
        <v/>
      </c>
      <c r="M41" s="130">
        <f>K41*570</f>
        <v/>
      </c>
      <c r="N41" s="11" t="n"/>
    </row>
    <row r="42" ht="23.25" customHeight="1" s="69">
      <c r="B42" s="11" t="n">
        <v>39</v>
      </c>
      <c r="C42" s="11" t="n"/>
      <c r="D42" s="11" t="n"/>
      <c r="E42" s="11" t="n"/>
      <c r="F42" s="11" t="n"/>
      <c r="G42" s="11" t="n"/>
      <c r="H42" s="11" t="n"/>
      <c r="I42" s="11">
        <f>E42-G42</f>
        <v/>
      </c>
      <c r="J42" s="11">
        <f>F42-H42</f>
        <v/>
      </c>
      <c r="K42" s="11" t="n"/>
      <c r="L42" s="130">
        <f>K42*450</f>
        <v/>
      </c>
      <c r="M42" s="130">
        <f>K42*570</f>
        <v/>
      </c>
      <c r="N42" s="11" t="n"/>
    </row>
    <row r="43" ht="23.25" customHeight="1" s="69">
      <c r="B43" s="11" t="n">
        <v>40</v>
      </c>
      <c r="C43" s="11" t="n"/>
      <c r="D43" s="11" t="n"/>
      <c r="E43" s="11" t="n"/>
      <c r="F43" s="11" t="n"/>
      <c r="G43" s="11" t="n"/>
      <c r="H43" s="11" t="n"/>
      <c r="I43" s="11">
        <f>E43-G43</f>
        <v/>
      </c>
      <c r="J43" s="11">
        <f>F43-H43</f>
        <v/>
      </c>
      <c r="K43" s="11" t="n"/>
      <c r="L43" s="130">
        <f>K43*450</f>
        <v/>
      </c>
      <c r="M43" s="130">
        <f>K43*570</f>
        <v/>
      </c>
      <c r="N43" s="11" t="n"/>
    </row>
    <row r="44" ht="23.25" customHeight="1" s="69">
      <c r="B44" s="11" t="n">
        <v>41</v>
      </c>
      <c r="C44" s="11" t="n"/>
      <c r="D44" s="11" t="n"/>
      <c r="E44" s="11" t="n"/>
      <c r="F44" s="11" t="n"/>
      <c r="G44" s="11" t="n"/>
      <c r="H44" s="11" t="n"/>
      <c r="I44" s="11">
        <f>E44-G44</f>
        <v/>
      </c>
      <c r="J44" s="11">
        <f>F44-H44</f>
        <v/>
      </c>
      <c r="K44" s="11" t="n"/>
      <c r="L44" s="130">
        <f>K44*450</f>
        <v/>
      </c>
      <c r="M44" s="130">
        <f>K44*570</f>
        <v/>
      </c>
      <c r="N44" s="11" t="n"/>
    </row>
    <row r="45" ht="23.25" customHeight="1" s="69">
      <c r="B45" s="11" t="n">
        <v>42</v>
      </c>
      <c r="C45" s="11" t="n"/>
      <c r="D45" s="11" t="n"/>
      <c r="E45" s="11" t="n"/>
      <c r="F45" s="11" t="n"/>
      <c r="G45" s="11" t="n"/>
      <c r="H45" s="11" t="n"/>
      <c r="I45" s="11">
        <f>E45-G45</f>
        <v/>
      </c>
      <c r="J45" s="11">
        <f>F45-H45</f>
        <v/>
      </c>
      <c r="K45" s="11" t="n"/>
      <c r="L45" s="130">
        <f>K45*450</f>
        <v/>
      </c>
      <c r="M45" s="130">
        <f>K45*570</f>
        <v/>
      </c>
      <c r="N45" s="11" t="n"/>
    </row>
    <row r="46" ht="23.25" customHeight="1" s="69">
      <c r="B46" s="11" t="n">
        <v>43</v>
      </c>
      <c r="C46" s="11" t="n"/>
      <c r="D46" s="11" t="n"/>
      <c r="E46" s="11" t="n"/>
      <c r="F46" s="11" t="n"/>
      <c r="G46" s="11" t="n"/>
      <c r="H46" s="11" t="n"/>
      <c r="I46" s="11">
        <f>E46-G46</f>
        <v/>
      </c>
      <c r="J46" s="11">
        <f>F46-H46</f>
        <v/>
      </c>
      <c r="K46" s="11" t="n"/>
      <c r="L46" s="130">
        <f>K46*450</f>
        <v/>
      </c>
      <c r="M46" s="130">
        <f>K46*570</f>
        <v/>
      </c>
      <c r="N46" s="11" t="n"/>
    </row>
    <row r="47" ht="23.25" customHeight="1" s="69">
      <c r="B47" s="11" t="n">
        <v>44</v>
      </c>
      <c r="C47" s="11" t="n"/>
      <c r="D47" s="11" t="n"/>
      <c r="E47" s="11" t="n"/>
      <c r="F47" s="11" t="n"/>
      <c r="G47" s="11" t="n"/>
      <c r="H47" s="11" t="n"/>
      <c r="I47" s="11">
        <f>E47-G47</f>
        <v/>
      </c>
      <c r="J47" s="11">
        <f>F47-H47</f>
        <v/>
      </c>
      <c r="K47" s="11" t="n"/>
      <c r="L47" s="130">
        <f>K47*450</f>
        <v/>
      </c>
      <c r="M47" s="130">
        <f>K47*570</f>
        <v/>
      </c>
      <c r="N47" s="11" t="n"/>
    </row>
    <row r="48" ht="23.25" customHeight="1" s="69">
      <c r="B48" s="11" t="n">
        <v>45</v>
      </c>
      <c r="C48" s="11" t="n"/>
      <c r="D48" s="11" t="n"/>
      <c r="E48" s="11" t="n"/>
      <c r="F48" s="11" t="n"/>
      <c r="G48" s="11" t="n"/>
      <c r="H48" s="11" t="n"/>
      <c r="I48" s="11">
        <f>E48-G48</f>
        <v/>
      </c>
      <c r="J48" s="11">
        <f>F48-H48</f>
        <v/>
      </c>
      <c r="K48" s="11" t="n"/>
      <c r="L48" s="130">
        <f>K48*450</f>
        <v/>
      </c>
      <c r="M48" s="130">
        <f>K48*570</f>
        <v/>
      </c>
      <c r="N48" s="11" t="n"/>
    </row>
    <row r="49" ht="23.25" customHeight="1" s="69">
      <c r="B49" s="11" t="n">
        <v>46</v>
      </c>
      <c r="C49" s="11" t="n"/>
      <c r="D49" s="11" t="n"/>
      <c r="E49" s="11" t="n"/>
      <c r="F49" s="11" t="n"/>
      <c r="G49" s="11" t="n"/>
      <c r="H49" s="11" t="n"/>
      <c r="I49" s="11">
        <f>E49-G49</f>
        <v/>
      </c>
      <c r="J49" s="11">
        <f>F49-H49</f>
        <v/>
      </c>
      <c r="K49" s="11" t="n"/>
      <c r="L49" s="130">
        <f>K49*450</f>
        <v/>
      </c>
      <c r="M49" s="130">
        <f>K49*570</f>
        <v/>
      </c>
      <c r="N49" s="11" t="n"/>
    </row>
  </sheetData>
  <mergeCells count="16">
    <mergeCell ref="O29:Q29"/>
    <mergeCell ref="C4:C13"/>
    <mergeCell ref="C14:C17"/>
    <mergeCell ref="K2:M2"/>
    <mergeCell ref="C18:C23"/>
    <mergeCell ref="B2:C3"/>
    <mergeCell ref="O27:Q27"/>
    <mergeCell ref="G2:H2"/>
    <mergeCell ref="E2:F2"/>
    <mergeCell ref="I2:J2"/>
    <mergeCell ref="O20:Q22"/>
    <mergeCell ref="C24:C35"/>
    <mergeCell ref="N2:N3"/>
    <mergeCell ref="D2:D3"/>
    <mergeCell ref="O11:U13"/>
    <mergeCell ref="O33:Q35"/>
  </mergeCells>
  <pageMargins left="0" right="0" top="0.3543307086614174" bottom="0" header="0.3149606299212598" footer="0.3149606299212598"/>
  <pageSetup orientation="landscape" paperSize="9" scale="8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9"/>
  <sheetViews>
    <sheetView showGridLines="0" zoomScale="70" zoomScaleNormal="70" workbookViewId="0">
      <pane ySplit="3" topLeftCell="A4" activePane="bottomLeft" state="frozen"/>
      <selection activeCell="L37" sqref="L37"/>
      <selection pane="bottomLeft" activeCell="L11" sqref="L11:M12"/>
    </sheetView>
  </sheetViews>
  <sheetFormatPr baseColWidth="8" defaultColWidth="8.69921875" defaultRowHeight="19.8" customHeight="1"/>
  <cols>
    <col width="4.19921875" customWidth="1" style="45" min="1" max="1"/>
    <col width="5" bestFit="1" customWidth="1" style="45" min="2" max="2"/>
    <col width="10.59765625" customWidth="1" style="45" min="3" max="3"/>
    <col width="14.59765625" bestFit="1" customWidth="1" style="45" min="4" max="4"/>
    <col width="13.69921875" customWidth="1" style="45" min="5" max="5"/>
    <col width="13.69921875" bestFit="1" customWidth="1" style="45" min="6" max="6"/>
    <col width="13.69921875" customWidth="1" style="45" min="7" max="7"/>
    <col width="14.3984375" bestFit="1" customWidth="1" style="45" min="8" max="8"/>
    <col width="14.3984375" customWidth="1" style="45" min="9" max="9"/>
    <col width="33.8984375" customWidth="1" style="45" min="10" max="10"/>
    <col width="6" bestFit="1" customWidth="1" style="134" min="11" max="11"/>
    <col width="14.19921875" customWidth="1" style="134" min="12" max="13"/>
    <col width="21" bestFit="1" customWidth="1" style="45" min="14" max="14"/>
    <col width="8.69921875" customWidth="1" style="45" min="15" max="16384"/>
  </cols>
  <sheetData>
    <row r="2" ht="19.8" customHeight="1" s="69">
      <c r="B2" s="59" t="inlineStr">
        <is>
          <t>구분</t>
        </is>
      </c>
      <c r="C2" s="124" t="n"/>
      <c r="D2" s="59" t="inlineStr">
        <is>
          <t>라인명</t>
        </is>
      </c>
      <c r="E2" s="59" t="inlineStr">
        <is>
          <t>표준 필요 인원</t>
        </is>
      </c>
      <c r="F2" s="125" t="n"/>
      <c r="G2" s="59" t="inlineStr">
        <is>
          <t>현재 가용 인원</t>
        </is>
      </c>
      <c r="H2" s="125" t="n"/>
      <c r="I2" s="59" t="inlineStr">
        <is>
          <t>인원 차이 (+/–)</t>
        </is>
      </c>
      <c r="J2" s="125" t="n"/>
      <c r="K2" s="59" t="inlineStr">
        <is>
          <t>CAPA</t>
        </is>
      </c>
      <c r="L2" s="126" t="n"/>
      <c r="M2" s="125" t="n"/>
      <c r="N2" s="59" t="inlineStr">
        <is>
          <t>비고</t>
        </is>
      </c>
    </row>
    <row r="3" ht="19.8" customHeight="1" s="69">
      <c r="B3" s="127" t="n"/>
      <c r="C3" s="128" t="n"/>
      <c r="D3" s="129" t="n"/>
      <c r="E3" s="59" t="inlineStr">
        <is>
          <t>OP</t>
        </is>
      </c>
      <c r="F3" s="59" t="inlineStr">
        <is>
          <t>작업자</t>
        </is>
      </c>
      <c r="G3" s="59" t="inlineStr">
        <is>
          <t>OP</t>
        </is>
      </c>
      <c r="H3" s="59" t="inlineStr">
        <is>
          <t>작업자</t>
        </is>
      </c>
      <c r="I3" s="59" t="inlineStr">
        <is>
          <t>OP</t>
        </is>
      </c>
      <c r="J3" s="59" t="inlineStr">
        <is>
          <t>작업자</t>
        </is>
      </c>
      <c r="K3" s="59" t="inlineStr">
        <is>
          <t>분</t>
        </is>
      </c>
      <c r="L3" s="59" t="inlineStr">
        <is>
          <t>정상</t>
        </is>
      </c>
      <c r="M3" s="59" t="inlineStr">
        <is>
          <t>잔업</t>
        </is>
      </c>
      <c r="N3" s="129" t="n"/>
    </row>
    <row r="4" ht="19.8" customHeight="1" s="69">
      <c r="B4" s="47" t="n">
        <v>1</v>
      </c>
      <c r="C4" s="63" t="inlineStr">
        <is>
          <t>튜브</t>
        </is>
      </c>
      <c r="D4" s="47" t="inlineStr">
        <is>
          <t>튜브2호</t>
        </is>
      </c>
      <c r="E4" s="47" t="n">
        <v>1</v>
      </c>
      <c r="F4" s="47" t="n"/>
      <c r="G4" s="47" t="n">
        <v>1</v>
      </c>
      <c r="H4" s="47" t="n"/>
      <c r="I4" s="47">
        <f>E4-G4</f>
        <v/>
      </c>
      <c r="J4" s="47">
        <f>F4-H4</f>
        <v/>
      </c>
      <c r="K4" s="135" t="n">
        <v>45</v>
      </c>
      <c r="L4" s="135">
        <f>K4*450</f>
        <v/>
      </c>
      <c r="M4" s="135">
        <f>K4*570</f>
        <v/>
      </c>
      <c r="N4" s="50" t="inlineStr">
        <is>
          <t>품목에 따라 1명 필요</t>
        </is>
      </c>
    </row>
    <row r="5" ht="19.8" customHeight="1" s="69">
      <c r="B5" s="47" t="n">
        <v>2</v>
      </c>
      <c r="C5" s="131" t="n"/>
      <c r="D5" s="47" t="inlineStr">
        <is>
          <t>튜브3호</t>
        </is>
      </c>
      <c r="E5" s="47" t="n">
        <v>1</v>
      </c>
      <c r="F5" s="47" t="n">
        <v>0</v>
      </c>
      <c r="G5" s="47" t="n">
        <v>1</v>
      </c>
      <c r="H5" s="47" t="n">
        <v>0</v>
      </c>
      <c r="I5" s="47">
        <f>E5-G5</f>
        <v/>
      </c>
      <c r="J5" s="47">
        <f>F5-H5</f>
        <v/>
      </c>
      <c r="K5" s="135" t="n">
        <v>42</v>
      </c>
      <c r="L5" s="135">
        <f>K5*450</f>
        <v/>
      </c>
      <c r="M5" s="135">
        <f>K5*570</f>
        <v/>
      </c>
      <c r="N5" s="50" t="inlineStr">
        <is>
          <t>60파이 라인 1명 필요</t>
        </is>
      </c>
    </row>
    <row r="6" ht="19.8" customHeight="1" s="69">
      <c r="B6" s="47" t="n">
        <v>3</v>
      </c>
      <c r="C6" s="131" t="n"/>
      <c r="D6" s="47" t="inlineStr">
        <is>
          <t>튜브4호</t>
        </is>
      </c>
      <c r="E6" s="47" t="n">
        <v>1</v>
      </c>
      <c r="F6" s="47" t="n"/>
      <c r="G6" s="47" t="n">
        <v>1</v>
      </c>
      <c r="H6" s="47" t="n"/>
      <c r="I6" s="47">
        <f>E6-G6</f>
        <v/>
      </c>
      <c r="J6" s="47">
        <f>F6-H6</f>
        <v/>
      </c>
      <c r="K6" s="136" t="n">
        <v>50</v>
      </c>
      <c r="L6" s="135">
        <f>K6*450</f>
        <v/>
      </c>
      <c r="M6" s="135">
        <f>K6*570</f>
        <v/>
      </c>
      <c r="N6" s="50" t="inlineStr">
        <is>
          <t>품목에 따라 1명 필요</t>
        </is>
      </c>
    </row>
    <row r="7" ht="19.8" customHeight="1" s="69">
      <c r="B7" s="47" t="n">
        <v>4</v>
      </c>
      <c r="C7" s="131" t="n"/>
      <c r="D7" s="47" t="inlineStr">
        <is>
          <t>튜브5호</t>
        </is>
      </c>
      <c r="E7" s="47" t="n">
        <v>1</v>
      </c>
      <c r="F7" s="47" t="n"/>
      <c r="G7" s="47" t="n">
        <v>1</v>
      </c>
      <c r="H7" s="47" t="n"/>
      <c r="I7" s="47">
        <f>E7-G7</f>
        <v/>
      </c>
      <c r="J7" s="47">
        <f>F7-H7</f>
        <v/>
      </c>
      <c r="K7" s="135" t="n">
        <v>50</v>
      </c>
      <c r="L7" s="135">
        <f>K7*450</f>
        <v/>
      </c>
      <c r="M7" s="135">
        <f>K7*570</f>
        <v/>
      </c>
      <c r="N7" s="50" t="inlineStr">
        <is>
          <t>품목에 따라 1명 필요</t>
        </is>
      </c>
    </row>
    <row r="8" ht="19.8" customHeight="1" s="69">
      <c r="B8" s="47" t="n">
        <v>5</v>
      </c>
      <c r="C8" s="131" t="n"/>
      <c r="D8" s="47" t="inlineStr">
        <is>
          <t>튜브6호</t>
        </is>
      </c>
      <c r="E8" s="47" t="n">
        <v>1</v>
      </c>
      <c r="F8" s="47" t="n"/>
      <c r="G8" s="47" t="n">
        <v>1</v>
      </c>
      <c r="H8" s="47" t="n"/>
      <c r="I8" s="47">
        <f>E8-G8</f>
        <v/>
      </c>
      <c r="J8" s="47">
        <f>F8-H8</f>
        <v/>
      </c>
      <c r="K8" s="135" t="n">
        <v>50</v>
      </c>
      <c r="L8" s="135">
        <f>K8*450</f>
        <v/>
      </c>
      <c r="M8" s="135">
        <f>K8*570</f>
        <v/>
      </c>
      <c r="N8" s="50" t="inlineStr">
        <is>
          <t>품목에 따라 1명 필요</t>
        </is>
      </c>
    </row>
    <row r="9" ht="19.8" customHeight="1" s="69">
      <c r="B9" s="47" t="n">
        <v>6</v>
      </c>
      <c r="C9" s="131" t="n"/>
      <c r="D9" s="47" t="inlineStr">
        <is>
          <t>튜브7호</t>
        </is>
      </c>
      <c r="E9" s="47" t="n">
        <v>1</v>
      </c>
      <c r="F9" s="47" t="n"/>
      <c r="G9" s="47" t="n">
        <v>1</v>
      </c>
      <c r="H9" s="47" t="n"/>
      <c r="I9" s="47">
        <f>E9-G9</f>
        <v/>
      </c>
      <c r="J9" s="47">
        <f>F9-H9</f>
        <v/>
      </c>
      <c r="K9" s="135" t="n">
        <v>54</v>
      </c>
      <c r="L9" s="135">
        <f>K9*450</f>
        <v/>
      </c>
      <c r="M9" s="135">
        <f>K9*570</f>
        <v/>
      </c>
      <c r="N9" s="50" t="n"/>
    </row>
    <row r="10" ht="19.8" customHeight="1" s="69">
      <c r="B10" s="47" t="n">
        <v>7</v>
      </c>
      <c r="C10" s="131" t="n"/>
      <c r="D10" s="47" t="inlineStr">
        <is>
          <t>튜브8호</t>
        </is>
      </c>
      <c r="E10" s="47" t="n">
        <v>1</v>
      </c>
      <c r="F10" s="47" t="n">
        <v>2</v>
      </c>
      <c r="G10" s="47" t="n">
        <v>1</v>
      </c>
      <c r="H10" s="47" t="n">
        <v>2</v>
      </c>
      <c r="I10" s="47">
        <f>E10-G10</f>
        <v/>
      </c>
      <c r="J10" s="47">
        <f>F10-H10</f>
        <v/>
      </c>
      <c r="K10" s="135" t="n">
        <v>45</v>
      </c>
      <c r="L10" s="135">
        <f>K10*450</f>
        <v/>
      </c>
      <c r="M10" s="135">
        <f>K10*570</f>
        <v/>
      </c>
      <c r="N10" s="50" t="n"/>
    </row>
    <row r="11" ht="19.8" customHeight="1" s="69">
      <c r="B11" s="47" t="n">
        <v>8</v>
      </c>
      <c r="C11" s="129" t="n"/>
      <c r="D11" s="47" t="inlineStr">
        <is>
          <t>튜브9호(초음파)</t>
        </is>
      </c>
      <c r="E11" s="47" t="n"/>
      <c r="F11" s="47" t="n"/>
      <c r="G11" s="47" t="n"/>
      <c r="H11" s="47" t="n"/>
      <c r="I11" s="47">
        <f>E11-G11</f>
        <v/>
      </c>
      <c r="J11" s="47">
        <f>F11-H11</f>
        <v/>
      </c>
      <c r="K11" s="135" t="n"/>
      <c r="L11" s="137">
        <f>SUM(L4:L10)</f>
        <v/>
      </c>
      <c r="M11" s="137">
        <f>SUM(M4:M10)</f>
        <v/>
      </c>
      <c r="N11" s="50" t="inlineStr">
        <is>
          <t>설비 가동안함</t>
        </is>
      </c>
    </row>
    <row r="12" ht="19.8" customHeight="1" s="69">
      <c r="B12" s="47" t="n">
        <v>9</v>
      </c>
      <c r="C12" s="52" t="n"/>
      <c r="D12" s="47" t="n"/>
      <c r="E12" s="47" t="n"/>
      <c r="F12" s="47" t="n"/>
      <c r="G12" s="47" t="n"/>
      <c r="H12" s="47" t="n"/>
      <c r="I12" s="47">
        <f>E12-G12</f>
        <v/>
      </c>
      <c r="J12" s="47">
        <f>F12-H12</f>
        <v/>
      </c>
      <c r="K12" s="135" t="n"/>
      <c r="L12" s="137">
        <f>L11*5</f>
        <v/>
      </c>
      <c r="M12" s="137">
        <f>M11*5</f>
        <v/>
      </c>
      <c r="N12" s="47" t="n"/>
    </row>
    <row r="13" ht="19.8" customHeight="1" s="69">
      <c r="B13" s="47" t="n">
        <v>10</v>
      </c>
      <c r="C13" s="52" t="n"/>
      <c r="D13" s="47" t="n"/>
      <c r="E13" s="47" t="n"/>
      <c r="F13" s="47" t="n"/>
      <c r="G13" s="47" t="n"/>
      <c r="H13" s="47" t="n"/>
      <c r="I13" s="47">
        <f>E13-G13</f>
        <v/>
      </c>
      <c r="J13" s="47">
        <f>F13-H13</f>
        <v/>
      </c>
      <c r="K13" s="135" t="n"/>
      <c r="L13" s="135" t="n"/>
      <c r="M13" s="135" t="n"/>
      <c r="N13" s="47" t="n"/>
    </row>
    <row r="14" ht="19.8" customHeight="1" s="69">
      <c r="B14" s="47" t="n">
        <v>11</v>
      </c>
      <c r="C14" s="52" t="n"/>
      <c r="D14" s="47" t="n"/>
      <c r="E14" s="47" t="n"/>
      <c r="F14" s="47" t="n"/>
      <c r="G14" s="47" t="n"/>
      <c r="H14" s="47" t="n"/>
      <c r="I14" s="47">
        <f>E14-G14</f>
        <v/>
      </c>
      <c r="J14" s="47">
        <f>F14-H14</f>
        <v/>
      </c>
      <c r="K14" s="135" t="n"/>
      <c r="L14" s="135" t="n"/>
      <c r="M14" s="135" t="n"/>
      <c r="N14" s="47" t="n"/>
    </row>
    <row r="15" ht="19.8" customHeight="1" s="69">
      <c r="B15" s="47" t="n">
        <v>12</v>
      </c>
      <c r="C15" s="52" t="n"/>
      <c r="D15" s="47" t="n"/>
      <c r="E15" s="47" t="n"/>
      <c r="F15" s="47" t="n"/>
      <c r="G15" s="47" t="n"/>
      <c r="H15" s="47" t="n"/>
      <c r="I15" s="47">
        <f>E15-G15</f>
        <v/>
      </c>
      <c r="J15" s="47">
        <f>F15-H15</f>
        <v/>
      </c>
      <c r="K15" s="135" t="n"/>
      <c r="L15" s="135" t="n"/>
      <c r="M15" s="135" t="n"/>
      <c r="N15" s="47" t="n"/>
    </row>
    <row r="16" ht="19.8" customHeight="1" s="69">
      <c r="B16" s="47" t="n">
        <v>13</v>
      </c>
      <c r="C16" s="52" t="n"/>
      <c r="D16" s="47" t="n"/>
      <c r="E16" s="47" t="n"/>
      <c r="F16" s="47" t="n"/>
      <c r="G16" s="47" t="n"/>
      <c r="H16" s="47" t="n"/>
      <c r="I16" s="47">
        <f>E16-G16</f>
        <v/>
      </c>
      <c r="J16" s="47">
        <f>F16-H16</f>
        <v/>
      </c>
      <c r="K16" s="135" t="n"/>
      <c r="L16" s="135" t="n"/>
      <c r="M16" s="135" t="n"/>
      <c r="N16" s="47" t="n"/>
    </row>
    <row r="17" ht="19.8" customHeight="1" s="69">
      <c r="B17" s="47" t="n">
        <v>14</v>
      </c>
      <c r="C17" s="52" t="n"/>
      <c r="D17" s="47" t="n"/>
      <c r="E17" s="47" t="n"/>
      <c r="F17" s="47" t="n"/>
      <c r="G17" s="47" t="n"/>
      <c r="H17" s="47" t="n"/>
      <c r="I17" s="47">
        <f>E17-G17</f>
        <v/>
      </c>
      <c r="J17" s="47">
        <f>F17-H17</f>
        <v/>
      </c>
      <c r="K17" s="135" t="n"/>
      <c r="L17" s="135" t="n"/>
      <c r="M17" s="135" t="n"/>
      <c r="N17" s="47" t="n"/>
    </row>
    <row r="18" ht="19.8" customHeight="1" s="69">
      <c r="B18" s="47" t="n">
        <v>15</v>
      </c>
      <c r="C18" s="52" t="n"/>
      <c r="D18" s="47" t="n"/>
      <c r="E18" s="47" t="n"/>
      <c r="F18" s="47" t="n"/>
      <c r="G18" s="47" t="n"/>
      <c r="H18" s="47" t="n"/>
      <c r="I18" s="47">
        <f>E18-G18</f>
        <v/>
      </c>
      <c r="J18" s="47">
        <f>F18-H18</f>
        <v/>
      </c>
      <c r="K18" s="135" t="n"/>
      <c r="L18" s="135" t="n"/>
      <c r="M18" s="135" t="n"/>
      <c r="N18" s="47" t="n"/>
    </row>
    <row r="19" ht="19.8" customHeight="1" s="69">
      <c r="B19" s="47" t="n">
        <v>16</v>
      </c>
      <c r="C19" s="52" t="n"/>
      <c r="D19" s="47" t="n"/>
      <c r="E19" s="47" t="n"/>
      <c r="F19" s="47" t="n"/>
      <c r="G19" s="47" t="n"/>
      <c r="H19" s="47" t="n"/>
      <c r="I19" s="47">
        <f>E19-G19</f>
        <v/>
      </c>
      <c r="J19" s="47">
        <f>F19-H19</f>
        <v/>
      </c>
      <c r="K19" s="135" t="n"/>
      <c r="L19" s="135" t="n"/>
      <c r="M19" s="135" t="n"/>
      <c r="N19" s="47" t="n"/>
    </row>
    <row r="20" ht="19.8" customHeight="1" s="69">
      <c r="B20" s="47" t="n">
        <v>17</v>
      </c>
      <c r="C20" s="52" t="n"/>
      <c r="D20" s="47" t="n"/>
      <c r="E20" s="47" t="n"/>
      <c r="F20" s="47" t="n"/>
      <c r="G20" s="47" t="n"/>
      <c r="H20" s="47" t="n"/>
      <c r="I20" s="47">
        <f>E20-G20</f>
        <v/>
      </c>
      <c r="J20" s="47">
        <f>F20-H20</f>
        <v/>
      </c>
      <c r="K20" s="135" t="n"/>
      <c r="L20" s="135" t="n"/>
      <c r="M20" s="135" t="n"/>
      <c r="N20" s="47" t="n"/>
    </row>
    <row r="21" ht="19.8" customHeight="1" s="69">
      <c r="B21" s="47" t="n">
        <v>18</v>
      </c>
      <c r="C21" s="52" t="n"/>
      <c r="D21" s="47" t="n"/>
      <c r="E21" s="47" t="n"/>
      <c r="F21" s="47" t="n"/>
      <c r="G21" s="47" t="n"/>
      <c r="H21" s="47" t="n"/>
      <c r="I21" s="47">
        <f>E21-G21</f>
        <v/>
      </c>
      <c r="J21" s="47">
        <f>F21-H21</f>
        <v/>
      </c>
      <c r="K21" s="135" t="n"/>
      <c r="L21" s="135" t="n"/>
      <c r="M21" s="135" t="n"/>
      <c r="N21" s="47" t="n"/>
    </row>
    <row r="22" ht="19.8" customHeight="1" s="69">
      <c r="B22" s="47" t="n">
        <v>19</v>
      </c>
      <c r="C22" s="52" t="n"/>
      <c r="D22" s="47" t="n"/>
      <c r="E22" s="47" t="n"/>
      <c r="F22" s="47" t="n"/>
      <c r="G22" s="47" t="n"/>
      <c r="H22" s="47" t="n"/>
      <c r="I22" s="47">
        <f>E22-G22</f>
        <v/>
      </c>
      <c r="J22" s="47">
        <f>F22-H22</f>
        <v/>
      </c>
      <c r="K22" s="135" t="n"/>
      <c r="L22" s="135" t="n"/>
      <c r="M22" s="135" t="n"/>
      <c r="N22" s="47" t="n"/>
    </row>
    <row r="23" ht="19.8" customHeight="1" s="69">
      <c r="B23" s="47" t="n">
        <v>20</v>
      </c>
      <c r="C23" s="52" t="n"/>
      <c r="D23" s="47" t="n"/>
      <c r="E23" s="47" t="n"/>
      <c r="F23" s="47" t="n"/>
      <c r="G23" s="47" t="n"/>
      <c r="H23" s="47" t="n"/>
      <c r="I23" s="47">
        <f>E23-G23</f>
        <v/>
      </c>
      <c r="J23" s="47">
        <f>F23-H23</f>
        <v/>
      </c>
      <c r="K23" s="135" t="n"/>
      <c r="L23" s="135" t="n"/>
      <c r="M23" s="135" t="n"/>
      <c r="N23" s="47" t="n"/>
    </row>
    <row r="24" ht="19.8" customHeight="1" s="69">
      <c r="B24" s="47" t="n">
        <v>21</v>
      </c>
      <c r="C24" s="52" t="n"/>
      <c r="D24" s="47" t="n"/>
      <c r="E24" s="47" t="n"/>
      <c r="F24" s="47" t="n"/>
      <c r="G24" s="47" t="n"/>
      <c r="H24" s="47" t="n"/>
      <c r="I24" s="47">
        <f>E24-G24</f>
        <v/>
      </c>
      <c r="J24" s="47">
        <f>F24-H24</f>
        <v/>
      </c>
      <c r="K24" s="135" t="n"/>
      <c r="L24" s="135" t="n"/>
      <c r="M24" s="135" t="n"/>
      <c r="N24" s="47" t="n"/>
    </row>
    <row r="25" ht="19.8" customHeight="1" s="69">
      <c r="B25" s="47" t="n">
        <v>22</v>
      </c>
      <c r="C25" s="52" t="n"/>
      <c r="D25" s="47" t="n"/>
      <c r="E25" s="47" t="n"/>
      <c r="F25" s="47" t="n"/>
      <c r="G25" s="47" t="n"/>
      <c r="H25" s="47" t="n"/>
      <c r="I25" s="47">
        <f>E25-G25</f>
        <v/>
      </c>
      <c r="J25" s="47">
        <f>F25-H25</f>
        <v/>
      </c>
      <c r="K25" s="135" t="n"/>
      <c r="L25" s="135" t="n"/>
      <c r="M25" s="135" t="n"/>
      <c r="N25" s="47" t="n"/>
    </row>
    <row r="26" ht="19.8" customHeight="1" s="69">
      <c r="B26" s="47" t="n">
        <v>23</v>
      </c>
      <c r="C26" s="52" t="n"/>
      <c r="D26" s="47" t="n"/>
      <c r="E26" s="47" t="n"/>
      <c r="F26" s="47" t="n"/>
      <c r="G26" s="47" t="n"/>
      <c r="H26" s="47" t="n"/>
      <c r="I26" s="47">
        <f>E26-G26</f>
        <v/>
      </c>
      <c r="J26" s="47">
        <f>F26-H26</f>
        <v/>
      </c>
      <c r="K26" s="135" t="n"/>
      <c r="L26" s="135" t="n"/>
      <c r="M26" s="135" t="n"/>
      <c r="N26" s="47" t="n"/>
    </row>
    <row r="27" ht="19.8" customHeight="1" s="69">
      <c r="B27" s="47" t="n">
        <v>24</v>
      </c>
      <c r="C27" s="52" t="n"/>
      <c r="D27" s="47" t="n"/>
      <c r="E27" s="47" t="n"/>
      <c r="F27" s="47" t="n"/>
      <c r="G27" s="47" t="n"/>
      <c r="H27" s="47" t="n"/>
      <c r="I27" s="47">
        <f>E27-G27</f>
        <v/>
      </c>
      <c r="J27" s="47">
        <f>F27-H27</f>
        <v/>
      </c>
      <c r="K27" s="135" t="n"/>
      <c r="L27" s="135" t="n"/>
      <c r="M27" s="135" t="n"/>
      <c r="N27" s="47" t="n"/>
    </row>
    <row r="28" ht="19.8" customHeight="1" s="69">
      <c r="B28" s="47" t="n">
        <v>25</v>
      </c>
      <c r="C28" s="52" t="n"/>
      <c r="D28" s="47" t="n"/>
      <c r="E28" s="47" t="n"/>
      <c r="F28" s="47" t="n"/>
      <c r="G28" s="47" t="n"/>
      <c r="H28" s="47" t="n"/>
      <c r="I28" s="47">
        <f>E28-G28</f>
        <v/>
      </c>
      <c r="J28" s="47">
        <f>F28-H28</f>
        <v/>
      </c>
      <c r="K28" s="135" t="n"/>
      <c r="L28" s="135" t="n"/>
      <c r="M28" s="135" t="n"/>
      <c r="N28" s="47" t="n"/>
    </row>
    <row r="29" ht="19.8" customHeight="1" s="69">
      <c r="B29" s="47" t="n">
        <v>26</v>
      </c>
      <c r="C29" s="52" t="n"/>
      <c r="D29" s="47" t="n"/>
      <c r="E29" s="47" t="n"/>
      <c r="F29" s="47" t="n"/>
      <c r="G29" s="47" t="n"/>
      <c r="H29" s="47" t="n"/>
      <c r="I29" s="47">
        <f>E29-G29</f>
        <v/>
      </c>
      <c r="J29" s="47">
        <f>F29-H29</f>
        <v/>
      </c>
      <c r="K29" s="135" t="n"/>
      <c r="L29" s="135" t="n"/>
      <c r="M29" s="135" t="n"/>
      <c r="N29" s="47" t="n"/>
    </row>
    <row r="30" ht="19.8" customHeight="1" s="69">
      <c r="B30" s="47" t="n">
        <v>27</v>
      </c>
      <c r="C30" s="52" t="n"/>
      <c r="D30" s="47" t="n"/>
      <c r="E30" s="47" t="n"/>
      <c r="F30" s="47" t="n"/>
      <c r="G30" s="47" t="n"/>
      <c r="H30" s="47" t="n"/>
      <c r="I30" s="47">
        <f>E30-G30</f>
        <v/>
      </c>
      <c r="J30" s="47">
        <f>F30-H30</f>
        <v/>
      </c>
      <c r="K30" s="135" t="n"/>
      <c r="L30" s="135" t="n"/>
      <c r="M30" s="135" t="n"/>
      <c r="N30" s="47" t="n"/>
    </row>
    <row r="31" ht="19.8" customHeight="1" s="69">
      <c r="B31" s="47" t="n">
        <v>28</v>
      </c>
      <c r="C31" s="52" t="n"/>
      <c r="D31" s="47" t="n"/>
      <c r="E31" s="47" t="n"/>
      <c r="F31" s="47" t="n"/>
      <c r="G31" s="47" t="n"/>
      <c r="H31" s="47" t="n"/>
      <c r="I31" s="47">
        <f>E31-G31</f>
        <v/>
      </c>
      <c r="J31" s="47">
        <f>F31-H31</f>
        <v/>
      </c>
      <c r="K31" s="135" t="n"/>
      <c r="L31" s="135" t="n"/>
      <c r="M31" s="135" t="n"/>
      <c r="N31" s="47" t="n"/>
    </row>
    <row r="32" ht="19.8" customHeight="1" s="69">
      <c r="B32" s="47" t="n">
        <v>29</v>
      </c>
      <c r="C32" s="52" t="n"/>
      <c r="D32" s="47" t="n"/>
      <c r="E32" s="47" t="n"/>
      <c r="F32" s="47" t="n"/>
      <c r="G32" s="47" t="n"/>
      <c r="H32" s="47" t="n"/>
      <c r="I32" s="47">
        <f>E32-G32</f>
        <v/>
      </c>
      <c r="J32" s="47">
        <f>F32-H32</f>
        <v/>
      </c>
      <c r="K32" s="135" t="n"/>
      <c r="L32" s="135" t="n"/>
      <c r="M32" s="135" t="n"/>
      <c r="N32" s="47" t="n"/>
    </row>
    <row r="33" ht="19.8" customHeight="1" s="69">
      <c r="B33" s="47" t="n">
        <v>30</v>
      </c>
      <c r="C33" s="52" t="n"/>
      <c r="D33" s="47" t="n"/>
      <c r="E33" s="47" t="n"/>
      <c r="F33" s="47" t="n"/>
      <c r="G33" s="47" t="n"/>
      <c r="H33" s="47" t="n"/>
      <c r="I33" s="47">
        <f>E33-G33</f>
        <v/>
      </c>
      <c r="J33" s="47">
        <f>F33-H33</f>
        <v/>
      </c>
      <c r="K33" s="135" t="n"/>
      <c r="L33" s="135" t="n"/>
      <c r="M33" s="135" t="n"/>
      <c r="N33" s="47" t="n"/>
    </row>
    <row r="34" ht="19.8" customHeight="1" s="69">
      <c r="B34" s="47" t="n">
        <v>31</v>
      </c>
      <c r="C34" s="52" t="n"/>
      <c r="D34" s="47" t="n"/>
      <c r="E34" s="47" t="n"/>
      <c r="F34" s="47" t="n"/>
      <c r="G34" s="47" t="n"/>
      <c r="H34" s="47" t="n"/>
      <c r="I34" s="47">
        <f>E34-G34</f>
        <v/>
      </c>
      <c r="J34" s="47">
        <f>F34-H34</f>
        <v/>
      </c>
      <c r="K34" s="135" t="n"/>
      <c r="L34" s="135" t="n"/>
      <c r="M34" s="135" t="n"/>
      <c r="N34" s="47" t="n"/>
    </row>
    <row r="35" ht="19.8" customHeight="1" s="69">
      <c r="B35" s="47" t="n">
        <v>32</v>
      </c>
      <c r="C35" s="52" t="n"/>
      <c r="D35" s="47" t="n"/>
      <c r="E35" s="47" t="n"/>
      <c r="F35" s="47" t="n"/>
      <c r="G35" s="47" t="n"/>
      <c r="H35" s="47" t="n"/>
      <c r="I35" s="47">
        <f>E35-G35</f>
        <v/>
      </c>
      <c r="J35" s="47">
        <f>F35-H35</f>
        <v/>
      </c>
      <c r="K35" s="135" t="n"/>
      <c r="L35" s="135" t="n"/>
      <c r="M35" s="135" t="n"/>
      <c r="N35" s="47" t="n"/>
    </row>
    <row r="36" ht="19.8" customHeight="1" s="69">
      <c r="B36" s="47" t="n">
        <v>33</v>
      </c>
      <c r="C36" s="47" t="n"/>
      <c r="D36" s="47" t="n"/>
      <c r="E36" s="47" t="n"/>
      <c r="F36" s="47" t="n"/>
      <c r="G36" s="47" t="n"/>
      <c r="H36" s="47" t="n"/>
      <c r="I36" s="47">
        <f>E36-G36</f>
        <v/>
      </c>
      <c r="J36" s="47">
        <f>F36-H36</f>
        <v/>
      </c>
      <c r="K36" s="135" t="n"/>
      <c r="L36" s="135" t="n"/>
      <c r="M36" s="135" t="n"/>
      <c r="N36" s="47" t="n"/>
    </row>
    <row r="37" ht="19.8" customHeight="1" s="69">
      <c r="B37" s="47" t="n">
        <v>34</v>
      </c>
      <c r="C37" s="47" t="n"/>
      <c r="D37" s="47" t="n"/>
      <c r="E37" s="47" t="n"/>
      <c r="F37" s="47" t="n"/>
      <c r="G37" s="47" t="n"/>
      <c r="H37" s="47" t="n"/>
      <c r="I37" s="47">
        <f>E37-G37</f>
        <v/>
      </c>
      <c r="J37" s="47">
        <f>F37-H37</f>
        <v/>
      </c>
      <c r="K37" s="135" t="n"/>
      <c r="L37" s="135" t="n"/>
      <c r="M37" s="135" t="n"/>
      <c r="N37" s="47" t="n"/>
    </row>
    <row r="38" ht="19.8" customHeight="1" s="69">
      <c r="B38" s="47" t="n">
        <v>35</v>
      </c>
      <c r="C38" s="47" t="n"/>
      <c r="D38" s="47" t="n"/>
      <c r="E38" s="47" t="n"/>
      <c r="F38" s="47" t="n"/>
      <c r="G38" s="47" t="n"/>
      <c r="H38" s="47" t="n"/>
      <c r="I38" s="47">
        <f>E38-G38</f>
        <v/>
      </c>
      <c r="J38" s="47">
        <f>F38-H38</f>
        <v/>
      </c>
      <c r="K38" s="135" t="n"/>
      <c r="L38" s="135" t="n"/>
      <c r="M38" s="135" t="n"/>
      <c r="N38" s="47" t="n"/>
    </row>
    <row r="39" ht="19.8" customHeight="1" s="69">
      <c r="B39" s="47" t="n">
        <v>36</v>
      </c>
      <c r="C39" s="47" t="n"/>
      <c r="D39" s="47" t="n"/>
      <c r="E39" s="47" t="n"/>
      <c r="F39" s="47" t="n"/>
      <c r="G39" s="47" t="n"/>
      <c r="H39" s="47" t="n"/>
      <c r="I39" s="47">
        <f>E39-G39</f>
        <v/>
      </c>
      <c r="J39" s="47">
        <f>F39-H39</f>
        <v/>
      </c>
      <c r="K39" s="135" t="n"/>
      <c r="L39" s="135" t="n"/>
      <c r="M39" s="135" t="n"/>
      <c r="N39" s="47" t="n"/>
    </row>
    <row r="40" ht="19.8" customHeight="1" s="69">
      <c r="B40" s="47" t="n">
        <v>37</v>
      </c>
      <c r="C40" s="47" t="n"/>
      <c r="D40" s="47" t="n"/>
      <c r="E40" s="47" t="n"/>
      <c r="F40" s="47" t="n"/>
      <c r="G40" s="47" t="n"/>
      <c r="H40" s="47" t="n"/>
      <c r="I40" s="47">
        <f>E40-G40</f>
        <v/>
      </c>
      <c r="J40" s="47">
        <f>F40-H40</f>
        <v/>
      </c>
      <c r="K40" s="135" t="n"/>
      <c r="L40" s="135" t="n"/>
      <c r="M40" s="135" t="n"/>
      <c r="N40" s="47" t="n"/>
    </row>
    <row r="41" ht="19.8" customHeight="1" s="69">
      <c r="B41" s="47" t="n">
        <v>38</v>
      </c>
      <c r="C41" s="47" t="n"/>
      <c r="D41" s="47" t="n"/>
      <c r="E41" s="47" t="n"/>
      <c r="F41" s="47" t="n"/>
      <c r="G41" s="47" t="n"/>
      <c r="H41" s="47" t="n"/>
      <c r="I41" s="47">
        <f>E41-G41</f>
        <v/>
      </c>
      <c r="J41" s="47">
        <f>F41-H41</f>
        <v/>
      </c>
      <c r="K41" s="135" t="n"/>
      <c r="L41" s="135" t="n"/>
      <c r="M41" s="135" t="n"/>
      <c r="N41" s="47" t="n"/>
    </row>
    <row r="42" ht="19.8" customHeight="1" s="69">
      <c r="B42" s="47" t="n">
        <v>39</v>
      </c>
      <c r="C42" s="47" t="n"/>
      <c r="D42" s="47" t="n"/>
      <c r="E42" s="47" t="n"/>
      <c r="F42" s="47" t="n"/>
      <c r="G42" s="47" t="n"/>
      <c r="H42" s="47" t="n"/>
      <c r="I42" s="47">
        <f>E42-G42</f>
        <v/>
      </c>
      <c r="J42" s="47">
        <f>F42-H42</f>
        <v/>
      </c>
      <c r="K42" s="135" t="n"/>
      <c r="L42" s="135" t="n"/>
      <c r="M42" s="135" t="n"/>
      <c r="N42" s="47" t="n"/>
    </row>
    <row r="43" ht="19.8" customHeight="1" s="69">
      <c r="B43" s="47" t="n">
        <v>40</v>
      </c>
      <c r="C43" s="47" t="n"/>
      <c r="D43" s="47" t="n"/>
      <c r="E43" s="47" t="n"/>
      <c r="F43" s="47" t="n"/>
      <c r="G43" s="47" t="n"/>
      <c r="H43" s="47" t="n"/>
      <c r="I43" s="47">
        <f>E43-G43</f>
        <v/>
      </c>
      <c r="J43" s="47">
        <f>F43-H43</f>
        <v/>
      </c>
      <c r="K43" s="135" t="n"/>
      <c r="L43" s="135" t="n"/>
      <c r="M43" s="135" t="n"/>
      <c r="N43" s="47" t="n"/>
    </row>
    <row r="44" ht="19.8" customHeight="1" s="69">
      <c r="B44" s="47" t="n">
        <v>41</v>
      </c>
      <c r="C44" s="47" t="n"/>
      <c r="D44" s="47" t="n"/>
      <c r="E44" s="47" t="n"/>
      <c r="F44" s="47" t="n"/>
      <c r="G44" s="47" t="n"/>
      <c r="H44" s="47" t="n"/>
      <c r="I44" s="47">
        <f>E44-G44</f>
        <v/>
      </c>
      <c r="J44" s="47">
        <f>F44-H44</f>
        <v/>
      </c>
      <c r="K44" s="135" t="n"/>
      <c r="L44" s="135" t="n"/>
      <c r="M44" s="135" t="n"/>
      <c r="N44" s="47" t="n"/>
    </row>
    <row r="45" ht="19.8" customHeight="1" s="69">
      <c r="B45" s="47" t="n">
        <v>42</v>
      </c>
      <c r="C45" s="47" t="n"/>
      <c r="D45" s="47" t="n"/>
      <c r="E45" s="47" t="n"/>
      <c r="F45" s="47" t="n"/>
      <c r="G45" s="47" t="n"/>
      <c r="H45" s="47" t="n"/>
      <c r="I45" s="47">
        <f>E45-G45</f>
        <v/>
      </c>
      <c r="J45" s="47">
        <f>F45-H45</f>
        <v/>
      </c>
      <c r="K45" s="135" t="n"/>
      <c r="L45" s="135" t="n"/>
      <c r="M45" s="135" t="n"/>
      <c r="N45" s="47" t="n"/>
    </row>
    <row r="46" ht="19.8" customHeight="1" s="69">
      <c r="B46" s="47" t="n">
        <v>43</v>
      </c>
      <c r="C46" s="47" t="n"/>
      <c r="D46" s="47" t="n"/>
      <c r="E46" s="47" t="n"/>
      <c r="F46" s="47" t="n"/>
      <c r="G46" s="47" t="n"/>
      <c r="H46" s="47" t="n"/>
      <c r="I46" s="47">
        <f>E46-G46</f>
        <v/>
      </c>
      <c r="J46" s="47">
        <f>F46-H46</f>
        <v/>
      </c>
      <c r="K46" s="135" t="n"/>
      <c r="L46" s="135" t="n"/>
      <c r="M46" s="135" t="n"/>
      <c r="N46" s="47" t="n"/>
    </row>
    <row r="47" ht="19.8" customHeight="1" s="69">
      <c r="B47" s="47" t="n">
        <v>44</v>
      </c>
      <c r="C47" s="47" t="n"/>
      <c r="D47" s="47" t="n"/>
      <c r="E47" s="47" t="n"/>
      <c r="F47" s="47" t="n"/>
      <c r="G47" s="47" t="n"/>
      <c r="H47" s="47" t="n"/>
      <c r="I47" s="47">
        <f>E47-G47</f>
        <v/>
      </c>
      <c r="J47" s="47">
        <f>F47-H47</f>
        <v/>
      </c>
      <c r="K47" s="135" t="n"/>
      <c r="L47" s="135" t="n"/>
      <c r="M47" s="135" t="n"/>
      <c r="N47" s="47" t="n"/>
    </row>
    <row r="48" ht="19.8" customHeight="1" s="69">
      <c r="B48" s="47" t="n">
        <v>45</v>
      </c>
      <c r="C48" s="47" t="n"/>
      <c r="D48" s="47" t="n"/>
      <c r="E48" s="47" t="n"/>
      <c r="F48" s="47" t="n"/>
      <c r="G48" s="47" t="n"/>
      <c r="H48" s="47" t="n"/>
      <c r="I48" s="47">
        <f>E48-G48</f>
        <v/>
      </c>
      <c r="J48" s="47">
        <f>F48-H48</f>
        <v/>
      </c>
      <c r="K48" s="135" t="n"/>
      <c r="L48" s="135" t="n"/>
      <c r="M48" s="135" t="n"/>
      <c r="N48" s="47" t="n"/>
    </row>
    <row r="49" ht="19.8" customHeight="1" s="69">
      <c r="B49" s="47" t="n">
        <v>46</v>
      </c>
      <c r="C49" s="47" t="n"/>
      <c r="D49" s="47" t="n"/>
      <c r="E49" s="47" t="n"/>
      <c r="F49" s="47" t="n"/>
      <c r="G49" s="47" t="n"/>
      <c r="H49" s="47" t="n"/>
      <c r="I49" s="47">
        <f>E49-G49</f>
        <v/>
      </c>
      <c r="J49" s="47">
        <f>F49-H49</f>
        <v/>
      </c>
      <c r="K49" s="135" t="n"/>
      <c r="L49" s="135" t="n"/>
      <c r="M49" s="135" t="n"/>
      <c r="N49" s="47" t="n"/>
    </row>
  </sheetData>
  <mergeCells count="8">
    <mergeCell ref="K2:M2"/>
    <mergeCell ref="B2:C3"/>
    <mergeCell ref="G2:H2"/>
    <mergeCell ref="E2:F2"/>
    <mergeCell ref="I2:J2"/>
    <mergeCell ref="N2:N3"/>
    <mergeCell ref="D2:D3"/>
    <mergeCell ref="C4:C11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50"/>
  <sheetViews>
    <sheetView showGridLines="0" zoomScale="70" zoomScaleNormal="70" workbookViewId="0">
      <pane ySplit="3" topLeftCell="A25" activePane="bottomLeft" state="frozen"/>
      <selection pane="bottomLeft" activeCell="F49" sqref="E49:F50"/>
    </sheetView>
  </sheetViews>
  <sheetFormatPr baseColWidth="8" defaultColWidth="8.69921875" defaultRowHeight="17.4"/>
  <cols>
    <col width="4.19921875" customWidth="1" style="2" min="1" max="1"/>
    <col width="5" bestFit="1" customWidth="1" style="2" min="2" max="2"/>
    <col width="10.69921875" customWidth="1" style="2" min="3" max="3"/>
    <col width="32.5" bestFit="1" customWidth="1" style="2" min="4" max="4"/>
    <col width="13.69921875" bestFit="1" customWidth="1" style="2" min="5" max="5"/>
    <col width="13.69921875" customWidth="1" style="2" min="6" max="6"/>
    <col width="13.69921875" bestFit="1" customWidth="1" style="2" min="7" max="7"/>
    <col width="13.69921875" customWidth="1" style="2" min="8" max="8"/>
    <col width="14.3984375" bestFit="1" customWidth="1" style="2" min="9" max="9"/>
    <col width="14.3984375" customWidth="1" style="2" min="10" max="10"/>
    <col width="10.296875" customWidth="1" style="138" min="11" max="13"/>
    <col width="33.8984375" customWidth="1" style="2" min="14" max="14"/>
    <col width="8.69921875" customWidth="1" style="2" min="15" max="16384"/>
  </cols>
  <sheetData>
    <row r="2">
      <c r="B2" s="43" t="inlineStr">
        <is>
          <t>구분</t>
        </is>
      </c>
      <c r="C2" s="124" t="n"/>
      <c r="D2" s="43" t="inlineStr">
        <is>
          <t>라인명</t>
        </is>
      </c>
      <c r="E2" s="43" t="inlineStr">
        <is>
          <t>표준 필요 인원</t>
        </is>
      </c>
      <c r="F2" s="125" t="n"/>
      <c r="G2" s="43" t="inlineStr">
        <is>
          <t>현재 가용 인원</t>
        </is>
      </c>
      <c r="H2" s="125" t="n"/>
      <c r="I2" s="43" t="inlineStr">
        <is>
          <t>인원 차이 (+/–)</t>
        </is>
      </c>
      <c r="J2" s="125" t="n"/>
      <c r="K2" s="43" t="inlineStr">
        <is>
          <t>CAPA</t>
        </is>
      </c>
      <c r="L2" s="126" t="n"/>
      <c r="M2" s="125" t="n"/>
      <c r="N2" s="43" t="inlineStr">
        <is>
          <t>비고</t>
        </is>
      </c>
    </row>
    <row r="3">
      <c r="B3" s="127" t="n"/>
      <c r="C3" s="128" t="n"/>
      <c r="D3" s="129" t="n"/>
      <c r="E3" s="43" t="inlineStr">
        <is>
          <t>OP</t>
        </is>
      </c>
      <c r="F3" s="43" t="inlineStr">
        <is>
          <t>작업자</t>
        </is>
      </c>
      <c r="G3" s="43" t="inlineStr">
        <is>
          <t>OP</t>
        </is>
      </c>
      <c r="H3" s="43" t="inlineStr">
        <is>
          <t>작업자</t>
        </is>
      </c>
      <c r="I3" s="43" t="inlineStr">
        <is>
          <t>OP</t>
        </is>
      </c>
      <c r="J3" s="43" t="inlineStr">
        <is>
          <t>작업자</t>
        </is>
      </c>
      <c r="K3" s="43" t="inlineStr">
        <is>
          <t>분</t>
        </is>
      </c>
      <c r="L3" s="43" t="inlineStr">
        <is>
          <t>정상</t>
        </is>
      </c>
      <c r="M3" s="43" t="inlineStr">
        <is>
          <t>잔업</t>
        </is>
      </c>
      <c r="N3" s="129" t="n"/>
    </row>
    <row r="4">
      <c r="B4" s="68" t="n">
        <v>1</v>
      </c>
      <c r="C4" s="44" t="inlineStr">
        <is>
          <t>염모</t>
        </is>
      </c>
      <c r="D4" s="44" t="inlineStr">
        <is>
          <t>염모제 충전1호</t>
        </is>
      </c>
      <c r="E4" s="68" t="n"/>
      <c r="F4" s="68" t="n"/>
      <c r="G4" s="68" t="n"/>
      <c r="H4" s="68" t="n"/>
      <c r="I4" s="68">
        <f>E4-G4</f>
        <v/>
      </c>
      <c r="J4" s="68">
        <f>F4-H4</f>
        <v/>
      </c>
      <c r="K4" s="139" t="n"/>
      <c r="L4" s="140">
        <f>K4*450</f>
        <v/>
      </c>
      <c r="M4" s="140">
        <f>K4*570</f>
        <v/>
      </c>
      <c r="N4" s="68" t="n"/>
    </row>
    <row r="5">
      <c r="B5" s="68" t="n">
        <v>2</v>
      </c>
      <c r="C5" s="131" t="n"/>
      <c r="D5" s="44" t="inlineStr">
        <is>
          <t>염모제 충전3호</t>
        </is>
      </c>
      <c r="E5" s="68" t="n"/>
      <c r="F5" s="68" t="n"/>
      <c r="G5" s="68" t="n"/>
      <c r="H5" s="68" t="n"/>
      <c r="I5" s="68">
        <f>E5-G5</f>
        <v/>
      </c>
      <c r="J5" s="68">
        <f>F5-H5</f>
        <v/>
      </c>
      <c r="K5" s="139" t="n"/>
      <c r="L5" s="140">
        <f>K5*450</f>
        <v/>
      </c>
      <c r="M5" s="140">
        <f>K5*570</f>
        <v/>
      </c>
      <c r="N5" s="68" t="n"/>
    </row>
    <row r="6">
      <c r="B6" s="68" t="n">
        <v>3</v>
      </c>
      <c r="C6" s="131" t="n"/>
      <c r="D6" s="44" t="inlineStr">
        <is>
          <t>염모제 충전5호</t>
        </is>
      </c>
      <c r="E6" s="68" t="n"/>
      <c r="F6" s="68" t="n"/>
      <c r="G6" s="68" t="n"/>
      <c r="H6" s="68" t="n"/>
      <c r="I6" s="68">
        <f>E6-G6</f>
        <v/>
      </c>
      <c r="J6" s="68">
        <f>F6-H6</f>
        <v/>
      </c>
      <c r="K6" s="139" t="n"/>
      <c r="L6" s="140">
        <f>K6*450</f>
        <v/>
      </c>
      <c r="M6" s="140">
        <f>K6*570</f>
        <v/>
      </c>
      <c r="N6" s="68" t="n"/>
    </row>
    <row r="7">
      <c r="B7" s="68" t="n">
        <v>4</v>
      </c>
      <c r="C7" s="131" t="n"/>
      <c r="D7" s="44" t="inlineStr">
        <is>
          <t>염모제 직구성1호</t>
        </is>
      </c>
      <c r="E7" s="68" t="n"/>
      <c r="F7" s="68" t="n"/>
      <c r="G7" s="68" t="n"/>
      <c r="H7" s="68" t="n"/>
      <c r="I7" s="68">
        <f>E7-G7</f>
        <v/>
      </c>
      <c r="J7" s="68">
        <f>F7-H7</f>
        <v/>
      </c>
      <c r="K7" s="139" t="n"/>
      <c r="L7" s="140">
        <f>K7*450</f>
        <v/>
      </c>
      <c r="M7" s="140">
        <f>K7*570</f>
        <v/>
      </c>
      <c r="N7" s="68" t="n"/>
    </row>
    <row r="8">
      <c r="B8" s="68" t="n">
        <v>5</v>
      </c>
      <c r="C8" s="131" t="n"/>
      <c r="D8" s="44" t="inlineStr">
        <is>
          <t>염모제 직구성2호</t>
        </is>
      </c>
      <c r="E8" s="68" t="n"/>
      <c r="F8" s="68" t="n"/>
      <c r="G8" s="68" t="n"/>
      <c r="H8" s="68" t="n"/>
      <c r="I8" s="68">
        <f>E8-G8</f>
        <v/>
      </c>
      <c r="J8" s="68">
        <f>F8-H8</f>
        <v/>
      </c>
      <c r="K8" s="139" t="n"/>
      <c r="L8" s="140">
        <f>K8*450</f>
        <v/>
      </c>
      <c r="M8" s="140">
        <f>K8*570</f>
        <v/>
      </c>
      <c r="N8" s="68" t="n"/>
    </row>
    <row r="9">
      <c r="B9" s="68" t="n">
        <v>6</v>
      </c>
      <c r="C9" s="131" t="n"/>
      <c r="D9" s="44" t="inlineStr">
        <is>
          <t>염모제 직구성3호</t>
        </is>
      </c>
      <c r="E9" s="68" t="n"/>
      <c r="F9" s="68" t="n"/>
      <c r="G9" s="68" t="n"/>
      <c r="H9" s="68" t="n"/>
      <c r="I9" s="68">
        <f>E9-G9</f>
        <v/>
      </c>
      <c r="J9" s="68">
        <f>F9-H9</f>
        <v/>
      </c>
      <c r="K9" s="139" t="n"/>
      <c r="L9" s="140">
        <f>K9*450</f>
        <v/>
      </c>
      <c r="M9" s="140">
        <f>K9*570</f>
        <v/>
      </c>
      <c r="N9" s="68" t="n"/>
    </row>
    <row r="10">
      <c r="B10" s="68" t="n">
        <v>7</v>
      </c>
      <c r="C10" s="131" t="n"/>
      <c r="D10" s="44" t="inlineStr">
        <is>
          <t>염모제 직구성5호</t>
        </is>
      </c>
      <c r="E10" s="68" t="n"/>
      <c r="F10" s="68" t="n"/>
      <c r="G10" s="68" t="n"/>
      <c r="H10" s="68" t="n"/>
      <c r="I10" s="68">
        <f>E10-G10</f>
        <v/>
      </c>
      <c r="J10" s="68">
        <f>F10-H10</f>
        <v/>
      </c>
      <c r="K10" s="139" t="n"/>
      <c r="L10" s="140">
        <f>K10*450</f>
        <v/>
      </c>
      <c r="M10" s="140">
        <f>K10*570</f>
        <v/>
      </c>
      <c r="N10" s="68" t="n"/>
    </row>
    <row r="11">
      <c r="B11" s="68" t="n">
        <v>8</v>
      </c>
      <c r="C11" s="131" t="n"/>
      <c r="D11" s="44" t="inlineStr">
        <is>
          <t>염모제 직구성6호</t>
        </is>
      </c>
      <c r="E11" s="68" t="n"/>
      <c r="F11" s="68" t="n"/>
      <c r="G11" s="68" t="n"/>
      <c r="H11" s="68" t="n"/>
      <c r="I11" s="68">
        <f>E11-G11</f>
        <v/>
      </c>
      <c r="J11" s="68">
        <f>F11-H11</f>
        <v/>
      </c>
      <c r="K11" s="139" t="n"/>
      <c r="L11" s="140">
        <f>K11*450</f>
        <v/>
      </c>
      <c r="M11" s="140">
        <f>K11*570</f>
        <v/>
      </c>
      <c r="N11" s="68" t="n"/>
    </row>
    <row r="12">
      <c r="B12" s="68" t="n">
        <v>9</v>
      </c>
      <c r="C12" s="131" t="n"/>
      <c r="D12" s="44" t="inlineStr">
        <is>
          <t>염모제 직구성7호</t>
        </is>
      </c>
      <c r="E12" s="68" t="n"/>
      <c r="F12" s="68" t="n"/>
      <c r="G12" s="68" t="n"/>
      <c r="H12" s="68" t="n"/>
      <c r="I12" s="68">
        <f>E12-G12</f>
        <v/>
      </c>
      <c r="J12" s="68">
        <f>F12-H12</f>
        <v/>
      </c>
      <c r="K12" s="139" t="n"/>
      <c r="L12" s="140">
        <f>K12*450</f>
        <v/>
      </c>
      <c r="M12" s="140">
        <f>K12*570</f>
        <v/>
      </c>
      <c r="N12" s="68" t="n"/>
    </row>
    <row r="13">
      <c r="B13" s="68" t="n">
        <v>10</v>
      </c>
      <c r="C13" s="131" t="n"/>
      <c r="D13" s="44" t="inlineStr">
        <is>
          <t>염모제 파우치2호</t>
        </is>
      </c>
      <c r="E13" s="68" t="n"/>
      <c r="F13" s="68" t="n"/>
      <c r="G13" s="68" t="n"/>
      <c r="H13" s="68" t="n"/>
      <c r="I13" s="68">
        <f>E13-G13</f>
        <v/>
      </c>
      <c r="J13" s="68">
        <f>F13-H13</f>
        <v/>
      </c>
      <c r="K13" s="139" t="n"/>
      <c r="L13" s="140">
        <f>K13*450</f>
        <v/>
      </c>
      <c r="M13" s="140">
        <f>K13*570</f>
        <v/>
      </c>
      <c r="N13" s="68" t="n"/>
    </row>
    <row r="14">
      <c r="B14" s="68" t="n">
        <v>11</v>
      </c>
      <c r="C14" s="131" t="n"/>
      <c r="D14" s="44" t="inlineStr">
        <is>
          <t>염모제 파우치3호</t>
        </is>
      </c>
      <c r="E14" s="68" t="n"/>
      <c r="F14" s="68" t="n"/>
      <c r="G14" s="68" t="n"/>
      <c r="H14" s="68" t="n"/>
      <c r="I14" s="68">
        <f>E14-G14</f>
        <v/>
      </c>
      <c r="J14" s="68">
        <f>F14-H14</f>
        <v/>
      </c>
      <c r="K14" s="139" t="n"/>
      <c r="L14" s="140">
        <f>K14*450</f>
        <v/>
      </c>
      <c r="M14" s="140">
        <f>K14*570</f>
        <v/>
      </c>
      <c r="N14" s="68" t="n"/>
    </row>
    <row r="15">
      <c r="B15" s="68" t="n">
        <v>12</v>
      </c>
      <c r="C15" s="131" t="n"/>
      <c r="D15" s="44" t="inlineStr">
        <is>
          <t>염모제 파우치4호</t>
        </is>
      </c>
      <c r="E15" s="68" t="n"/>
      <c r="F15" s="68" t="n"/>
      <c r="G15" s="68" t="n"/>
      <c r="H15" s="68" t="n"/>
      <c r="I15" s="68">
        <f>E15-G15</f>
        <v/>
      </c>
      <c r="J15" s="68">
        <f>F15-H15</f>
        <v/>
      </c>
      <c r="K15" s="139" t="n"/>
      <c r="L15" s="140">
        <f>K15*450</f>
        <v/>
      </c>
      <c r="M15" s="140">
        <f>K15*570</f>
        <v/>
      </c>
      <c r="N15" s="68" t="n"/>
    </row>
    <row r="16">
      <c r="B16" s="68" t="n">
        <v>13</v>
      </c>
      <c r="C16" s="131" t="n"/>
      <c r="D16" s="44" t="inlineStr">
        <is>
          <t>염모제 파우치5호</t>
        </is>
      </c>
      <c r="E16" s="68" t="n"/>
      <c r="F16" s="68" t="n"/>
      <c r="G16" s="68" t="n"/>
      <c r="H16" s="68" t="n"/>
      <c r="I16" s="68">
        <f>E16-G16</f>
        <v/>
      </c>
      <c r="J16" s="68">
        <f>F16-H16</f>
        <v/>
      </c>
      <c r="K16" s="139" t="n"/>
      <c r="L16" s="140">
        <f>K16*450</f>
        <v/>
      </c>
      <c r="M16" s="140">
        <f>K16*570</f>
        <v/>
      </c>
      <c r="N16" s="68" t="n"/>
    </row>
    <row r="17">
      <c r="B17" s="68" t="n">
        <v>14</v>
      </c>
      <c r="C17" s="131" t="n"/>
      <c r="D17" s="44" t="inlineStr">
        <is>
          <t>염모제 파우치6호</t>
        </is>
      </c>
      <c r="E17" s="68" t="n"/>
      <c r="F17" s="68" t="n"/>
      <c r="G17" s="68" t="n"/>
      <c r="H17" s="68" t="n"/>
      <c r="I17" s="68">
        <f>E17-G17</f>
        <v/>
      </c>
      <c r="J17" s="68">
        <f>F17-H17</f>
        <v/>
      </c>
      <c r="K17" s="139" t="n"/>
      <c r="L17" s="140">
        <f>K17*450</f>
        <v/>
      </c>
      <c r="M17" s="140">
        <f>K17*570</f>
        <v/>
      </c>
      <c r="N17" s="68" t="n"/>
    </row>
    <row r="18">
      <c r="B18" s="68" t="n">
        <v>15</v>
      </c>
      <c r="C18" s="131" t="n"/>
      <c r="D18" s="44" t="inlineStr">
        <is>
          <t>산화제 충전2호</t>
        </is>
      </c>
      <c r="E18" s="68" t="n"/>
      <c r="F18" s="68" t="n"/>
      <c r="G18" s="68" t="n"/>
      <c r="H18" s="68" t="n"/>
      <c r="I18" s="68">
        <f>E18-G18</f>
        <v/>
      </c>
      <c r="J18" s="68">
        <f>F18-H18</f>
        <v/>
      </c>
      <c r="K18" s="139" t="n"/>
      <c r="L18" s="140">
        <f>K18*450</f>
        <v/>
      </c>
      <c r="M18" s="140">
        <f>K18*570</f>
        <v/>
      </c>
      <c r="N18" s="68" t="n"/>
    </row>
    <row r="19">
      <c r="B19" s="68" t="n">
        <v>16</v>
      </c>
      <c r="C19" s="131" t="n"/>
      <c r="D19" s="44" t="inlineStr">
        <is>
          <t>산화제 충전3호</t>
        </is>
      </c>
      <c r="E19" s="68" t="n"/>
      <c r="F19" s="68" t="n"/>
      <c r="G19" s="68" t="n"/>
      <c r="H19" s="68" t="n"/>
      <c r="I19" s="68">
        <f>E19-G19</f>
        <v/>
      </c>
      <c r="J19" s="68">
        <f>F19-H19</f>
        <v/>
      </c>
      <c r="K19" s="139" t="n"/>
      <c r="L19" s="140">
        <f>K19*450</f>
        <v/>
      </c>
      <c r="M19" s="140">
        <f>K19*570</f>
        <v/>
      </c>
      <c r="N19" s="68" t="n"/>
    </row>
    <row r="20">
      <c r="B20" s="68" t="n">
        <v>17</v>
      </c>
      <c r="C20" s="131" t="n"/>
      <c r="D20" s="44" t="inlineStr">
        <is>
          <t>산화제 충전5호</t>
        </is>
      </c>
      <c r="E20" s="68" t="n"/>
      <c r="F20" s="68" t="n"/>
      <c r="G20" s="68" t="n"/>
      <c r="H20" s="68" t="n"/>
      <c r="I20" s="68">
        <f>E20-G20</f>
        <v/>
      </c>
      <c r="J20" s="68">
        <f>F20-H20</f>
        <v/>
      </c>
      <c r="K20" s="139" t="n"/>
      <c r="L20" s="140">
        <f>K20*450</f>
        <v/>
      </c>
      <c r="M20" s="140">
        <f>K20*570</f>
        <v/>
      </c>
      <c r="N20" s="68" t="n"/>
    </row>
    <row r="21">
      <c r="B21" s="68" t="n">
        <v>18</v>
      </c>
      <c r="C21" s="131" t="n"/>
      <c r="D21" s="44" t="inlineStr">
        <is>
          <t>산화제 충전6호</t>
        </is>
      </c>
      <c r="E21" s="68" t="n"/>
      <c r="F21" s="68" t="n"/>
      <c r="G21" s="68" t="n"/>
      <c r="H21" s="68" t="n"/>
      <c r="I21" s="68">
        <f>E21-G21</f>
        <v/>
      </c>
      <c r="J21" s="68">
        <f>F21-H21</f>
        <v/>
      </c>
      <c r="K21" s="139" t="n"/>
      <c r="L21" s="140">
        <f>K21*450</f>
        <v/>
      </c>
      <c r="M21" s="140">
        <f>K21*570</f>
        <v/>
      </c>
      <c r="N21" s="68" t="n"/>
    </row>
    <row r="22">
      <c r="B22" s="68" t="n">
        <v>19</v>
      </c>
      <c r="C22" s="131" t="n"/>
      <c r="D22" s="44" t="inlineStr">
        <is>
          <t>산화제 충전7호</t>
        </is>
      </c>
      <c r="E22" s="68" t="n"/>
      <c r="F22" s="68" t="n"/>
      <c r="G22" s="68" t="n"/>
      <c r="H22" s="68" t="n"/>
      <c r="I22" s="68">
        <f>E22-G22</f>
        <v/>
      </c>
      <c r="J22" s="68">
        <f>F22-H22</f>
        <v/>
      </c>
      <c r="K22" s="139" t="n"/>
      <c r="L22" s="140">
        <f>K22*450</f>
        <v/>
      </c>
      <c r="M22" s="140">
        <f>K22*570</f>
        <v/>
      </c>
      <c r="N22" s="68" t="n"/>
    </row>
    <row r="23">
      <c r="B23" s="68" t="n">
        <v>20</v>
      </c>
      <c r="C23" s="131" t="n"/>
      <c r="D23" s="44" t="inlineStr">
        <is>
          <t>산화제 충전8호</t>
        </is>
      </c>
      <c r="E23" s="68" t="n"/>
      <c r="F23" s="68" t="n"/>
      <c r="G23" s="68" t="n"/>
      <c r="H23" s="68" t="n"/>
      <c r="I23" s="68">
        <f>E23-G23</f>
        <v/>
      </c>
      <c r="J23" s="68">
        <f>F23-H23</f>
        <v/>
      </c>
      <c r="K23" s="139" t="n"/>
      <c r="L23" s="140">
        <f>K23*450</f>
        <v/>
      </c>
      <c r="M23" s="140">
        <f>K23*570</f>
        <v/>
      </c>
      <c r="N23" s="68" t="n"/>
    </row>
    <row r="24">
      <c r="B24" s="68" t="n">
        <v>21</v>
      </c>
      <c r="C24" s="129" t="n"/>
      <c r="D24" s="44" t="inlineStr">
        <is>
          <t>염모제 기획</t>
        </is>
      </c>
      <c r="E24" s="68" t="n">
        <v>1</v>
      </c>
      <c r="F24" s="68" t="n">
        <v>10</v>
      </c>
      <c r="G24" s="68" t="n">
        <v>0</v>
      </c>
      <c r="H24" s="68" t="n">
        <v>0</v>
      </c>
      <c r="I24" s="68">
        <f>E24-G24</f>
        <v/>
      </c>
      <c r="J24" s="68">
        <f>F24-H24</f>
        <v/>
      </c>
      <c r="K24" s="139" t="n"/>
      <c r="L24" s="140">
        <f>K24*450</f>
        <v/>
      </c>
      <c r="M24" s="140">
        <f>K24*570</f>
        <v/>
      </c>
      <c r="N24" s="68" t="inlineStr">
        <is>
          <t>제품별 인원 배치 상이</t>
        </is>
      </c>
    </row>
    <row r="25">
      <c r="B25" s="68" t="n">
        <v>22</v>
      </c>
      <c r="C25" s="68" t="n"/>
      <c r="D25" s="68" t="n"/>
      <c r="E25" s="68" t="n"/>
      <c r="F25" s="68" t="n"/>
      <c r="G25" s="68" t="n"/>
      <c r="H25" s="68" t="n"/>
      <c r="I25" s="68">
        <f>E25-G25</f>
        <v/>
      </c>
      <c r="J25" s="68">
        <f>F25-H25</f>
        <v/>
      </c>
      <c r="K25" s="140" t="n"/>
      <c r="L25" s="140" t="n"/>
      <c r="M25" s="140" t="n"/>
      <c r="N25" s="68" t="n"/>
    </row>
    <row r="26">
      <c r="B26" s="68" t="n">
        <v>23</v>
      </c>
      <c r="C26" s="68" t="n"/>
      <c r="D26" s="68" t="n"/>
      <c r="E26" s="68" t="n"/>
      <c r="F26" s="68" t="n"/>
      <c r="G26" s="68" t="n"/>
      <c r="H26" s="68" t="n"/>
      <c r="I26" s="68">
        <f>E26-G26</f>
        <v/>
      </c>
      <c r="J26" s="68">
        <f>F26-H26</f>
        <v/>
      </c>
      <c r="K26" s="140" t="n"/>
      <c r="L26" s="140" t="n"/>
      <c r="M26" s="140" t="n"/>
      <c r="N26" s="68" t="n"/>
    </row>
    <row r="27">
      <c r="B27" s="68" t="n">
        <v>24</v>
      </c>
      <c r="C27" s="68" t="n"/>
      <c r="D27" s="68" t="n"/>
      <c r="E27" s="68" t="n"/>
      <c r="F27" s="68" t="n"/>
      <c r="G27" s="68" t="n"/>
      <c r="H27" s="68" t="n"/>
      <c r="I27" s="68">
        <f>E27-G27</f>
        <v/>
      </c>
      <c r="J27" s="68">
        <f>F27-H27</f>
        <v/>
      </c>
      <c r="K27" s="140" t="n"/>
      <c r="L27" s="140" t="n"/>
      <c r="M27" s="140" t="n"/>
      <c r="N27" s="68" t="n"/>
    </row>
    <row r="28">
      <c r="B28" s="68" t="n">
        <v>25</v>
      </c>
      <c r="C28" s="68" t="n"/>
      <c r="D28" s="44" t="inlineStr">
        <is>
          <t>염모제 지구성1호(염모제 충전1호</t>
        </is>
      </c>
      <c r="E28" s="68" t="n">
        <v>1</v>
      </c>
      <c r="F28" s="68" t="n">
        <v>1</v>
      </c>
      <c r="G28" s="68" t="n">
        <v>1</v>
      </c>
      <c r="H28" s="68" t="n">
        <v>1</v>
      </c>
      <c r="I28" s="68">
        <f>E28-G28</f>
        <v/>
      </c>
      <c r="J28" s="68">
        <f>F28-H28</f>
        <v/>
      </c>
      <c r="K28" s="68" t="n">
        <v>35</v>
      </c>
      <c r="L28" s="140">
        <f>K28*450</f>
        <v/>
      </c>
      <c r="M28" s="140">
        <f>K28*570</f>
        <v/>
      </c>
      <c r="N28" s="68" t="n"/>
    </row>
    <row r="29">
      <c r="B29" s="68" t="n">
        <v>26</v>
      </c>
      <c r="C29" s="68" t="n"/>
      <c r="D29" s="44" t="inlineStr">
        <is>
          <t>염모제직구성3호(모제 충전3호</t>
        </is>
      </c>
      <c r="E29" s="68" t="n">
        <v>1</v>
      </c>
      <c r="F29" s="68" t="n"/>
      <c r="G29" s="68" t="n">
        <v>1</v>
      </c>
      <c r="H29" s="68" t="n"/>
      <c r="I29" s="68">
        <f>E29-G29</f>
        <v/>
      </c>
      <c r="J29" s="68">
        <f>F29-H29</f>
        <v/>
      </c>
      <c r="K29" s="68" t="n">
        <v>25</v>
      </c>
      <c r="L29" s="140">
        <f>K29*450</f>
        <v/>
      </c>
      <c r="M29" s="140">
        <f>K29*570</f>
        <v/>
      </c>
      <c r="N29" s="68" t="n"/>
    </row>
    <row r="30">
      <c r="B30" s="68" t="n">
        <v>27</v>
      </c>
      <c r="C30" s="68" t="n"/>
      <c r="D30" s="44" t="inlineStr">
        <is>
          <t>염모데직구성5호(염모제 충전5호</t>
        </is>
      </c>
      <c r="E30" s="68" t="n">
        <v>0.5</v>
      </c>
      <c r="F30" s="68" t="n"/>
      <c r="G30" s="68" t="n">
        <v>0.5</v>
      </c>
      <c r="H30" s="68" t="n"/>
      <c r="I30" s="68">
        <f>E30-G30</f>
        <v/>
      </c>
      <c r="J30" s="68">
        <f>F30-H30</f>
        <v/>
      </c>
      <c r="K30" s="68" t="n">
        <v>35</v>
      </c>
      <c r="L30" s="140">
        <f>K30*450</f>
        <v/>
      </c>
      <c r="M30" s="140">
        <f>K30*570</f>
        <v/>
      </c>
      <c r="N30" s="68" t="n"/>
    </row>
    <row r="31">
      <c r="B31" s="68" t="n">
        <v>28</v>
      </c>
      <c r="C31" s="68" t="n"/>
      <c r="D31" s="44" t="inlineStr">
        <is>
          <t>염모제 직구성1호(염모제충전1호</t>
        </is>
      </c>
      <c r="E31" s="68" t="n">
        <v>1</v>
      </c>
      <c r="F31" s="68" t="n">
        <v>1</v>
      </c>
      <c r="G31" s="68" t="n">
        <v>1</v>
      </c>
      <c r="H31" s="68" t="n"/>
      <c r="I31" s="68">
        <f>E31-G31</f>
        <v/>
      </c>
      <c r="J31" s="68">
        <f>F31-H31</f>
        <v/>
      </c>
      <c r="K31" s="68" t="n">
        <v>35</v>
      </c>
      <c r="L31" s="140">
        <f>K31*450</f>
        <v/>
      </c>
      <c r="M31" s="140">
        <f>K31*570</f>
        <v/>
      </c>
      <c r="N31" s="68" t="n"/>
    </row>
    <row r="32">
      <c r="B32" s="68" t="n">
        <v>29</v>
      </c>
      <c r="C32" s="68" t="n"/>
      <c r="D32" s="44" t="inlineStr">
        <is>
          <t>염모제 직구성2호</t>
        </is>
      </c>
      <c r="E32" s="68" t="n">
        <v>1</v>
      </c>
      <c r="F32" s="68" t="n">
        <v>4</v>
      </c>
      <c r="G32" s="68" t="n"/>
      <c r="H32" s="68" t="n"/>
      <c r="I32" s="68">
        <f>E32-G32</f>
        <v/>
      </c>
      <c r="J32" s="68">
        <f>F32-H32</f>
        <v/>
      </c>
      <c r="K32" s="68" t="n"/>
      <c r="L32" s="140">
        <f>K32*450</f>
        <v/>
      </c>
      <c r="M32" s="140">
        <f>K32*570</f>
        <v/>
      </c>
      <c r="N32" s="68" t="n"/>
    </row>
    <row r="33">
      <c r="B33" s="68" t="n">
        <v>30</v>
      </c>
      <c r="C33" s="68" t="n"/>
      <c r="D33" s="44" t="inlineStr">
        <is>
          <t>염모제 직구성3호(염모충전3호 산화충5)</t>
        </is>
      </c>
      <c r="E33" s="68" t="n">
        <v>1</v>
      </c>
      <c r="F33" s="68" t="n">
        <v>4</v>
      </c>
      <c r="G33" s="68" t="n">
        <v>0</v>
      </c>
      <c r="H33" s="68" t="n">
        <v>0</v>
      </c>
      <c r="I33" s="68">
        <f>E33-G33</f>
        <v/>
      </c>
      <c r="J33" s="68">
        <f>F33-H33</f>
        <v/>
      </c>
      <c r="K33" s="68" t="n">
        <v>25</v>
      </c>
      <c r="L33" s="140">
        <f>K33*450</f>
        <v/>
      </c>
      <c r="M33" s="140">
        <f>K33*570</f>
        <v/>
      </c>
      <c r="N33" s="68" t="n"/>
    </row>
    <row r="34">
      <c r="B34" s="68" t="n">
        <v>31</v>
      </c>
      <c r="C34" s="68" t="n"/>
      <c r="D34" s="44" t="inlineStr">
        <is>
          <t>염모제 직구성5호(염모충전5 산화충전6</t>
        </is>
      </c>
      <c r="E34" s="68" t="n">
        <v>1</v>
      </c>
      <c r="F34" s="68" t="n">
        <v>1</v>
      </c>
      <c r="G34" s="68" t="n">
        <v>1</v>
      </c>
      <c r="H34" s="68" t="n">
        <v>1</v>
      </c>
      <c r="I34" s="68">
        <f>E34-G34</f>
        <v/>
      </c>
      <c r="J34" s="68">
        <f>F34-H34</f>
        <v/>
      </c>
      <c r="K34" s="68" t="n">
        <v>35</v>
      </c>
      <c r="L34" s="140">
        <f>K34*450</f>
        <v/>
      </c>
      <c r="M34" s="140">
        <f>K34*570</f>
        <v/>
      </c>
      <c r="N34" s="68" t="n"/>
    </row>
    <row r="35">
      <c r="B35" s="68" t="n">
        <v>32</v>
      </c>
      <c r="C35" s="68" t="n"/>
      <c r="D35" s="44" t="inlineStr">
        <is>
          <t>염모제 직구성6호(파우치 3.4호)</t>
        </is>
      </c>
      <c r="E35" s="68" t="n">
        <v>1</v>
      </c>
      <c r="F35" s="68" t="n">
        <v>1</v>
      </c>
      <c r="G35" s="68" t="n">
        <v>1</v>
      </c>
      <c r="H35" s="68" t="n"/>
      <c r="I35" s="68">
        <f>E35-G35</f>
        <v/>
      </c>
      <c r="J35" s="68">
        <f>F35-H35</f>
        <v/>
      </c>
      <c r="K35" s="68" t="n">
        <v>16</v>
      </c>
      <c r="L35" s="140">
        <f>K35*450</f>
        <v/>
      </c>
      <c r="M35" s="140">
        <f>K35*570</f>
        <v/>
      </c>
      <c r="N35" s="68" t="n"/>
    </row>
    <row r="36">
      <c r="B36" s="68" t="n">
        <v>33</v>
      </c>
      <c r="C36" s="68" t="n"/>
      <c r="D36" s="44" t="inlineStr">
        <is>
          <t>염모제 직구성7호(파우치6 산화충전8호)</t>
        </is>
      </c>
      <c r="E36" s="68" t="n">
        <v>1</v>
      </c>
      <c r="F36" s="68" t="n">
        <v>2</v>
      </c>
      <c r="G36" s="68" t="n">
        <v>1</v>
      </c>
      <c r="H36" s="68" t="n">
        <v>2</v>
      </c>
      <c r="I36" s="68">
        <f>E36-G36</f>
        <v/>
      </c>
      <c r="J36" s="68">
        <f>F36-H36</f>
        <v/>
      </c>
      <c r="K36" s="68" t="n">
        <v>60</v>
      </c>
      <c r="L36" s="140">
        <f>K36*450</f>
        <v/>
      </c>
      <c r="M36" s="140">
        <f>K36*570</f>
        <v/>
      </c>
      <c r="N36" s="68" t="n"/>
    </row>
    <row r="37">
      <c r="B37" s="68" t="n">
        <v>34</v>
      </c>
      <c r="C37" s="68" t="n"/>
      <c r="D37" s="44" t="inlineStr">
        <is>
          <t>염모제 파우치2호</t>
        </is>
      </c>
      <c r="E37" s="68" t="n">
        <v>1</v>
      </c>
      <c r="F37" s="68" t="n"/>
      <c r="G37" s="68" t="n"/>
      <c r="H37" s="68" t="n"/>
      <c r="I37" s="68">
        <f>E37-G37</f>
        <v/>
      </c>
      <c r="J37" s="68">
        <f>F37-H37</f>
        <v/>
      </c>
      <c r="K37" s="68" t="n"/>
      <c r="L37" s="140">
        <f>K37*450</f>
        <v/>
      </c>
      <c r="M37" s="140">
        <f>K37*570</f>
        <v/>
      </c>
      <c r="N37" s="68" t="n"/>
    </row>
    <row r="38">
      <c r="B38" s="68" t="n">
        <v>35</v>
      </c>
      <c r="C38" s="68" t="n"/>
      <c r="D38" s="44" t="inlineStr">
        <is>
          <t>염모제 파우치3호(염모제 직구성6호)</t>
        </is>
      </c>
      <c r="E38" s="68" t="n">
        <v>0.5</v>
      </c>
      <c r="F38" s="68" t="n"/>
      <c r="G38" s="68" t="n">
        <v>0.5</v>
      </c>
      <c r="H38" s="68" t="n"/>
      <c r="I38" s="68">
        <f>E38-G38</f>
        <v/>
      </c>
      <c r="J38" s="68">
        <f>F38-H38</f>
        <v/>
      </c>
      <c r="K38" s="68" t="n">
        <v>16</v>
      </c>
      <c r="L38" s="140">
        <f>K38*450</f>
        <v/>
      </c>
      <c r="M38" s="140">
        <f>K38*570</f>
        <v/>
      </c>
      <c r="N38" s="68" t="n"/>
    </row>
    <row r="39">
      <c r="B39" s="68" t="n">
        <v>36</v>
      </c>
      <c r="C39" s="68" t="n"/>
      <c r="D39" s="44" t="inlineStr">
        <is>
          <t>염모제 파우치4호(염모제직구성6호)</t>
        </is>
      </c>
      <c r="E39" s="68" t="n">
        <v>0.5</v>
      </c>
      <c r="F39" s="68" t="n"/>
      <c r="G39" s="68" t="n">
        <v>0.5</v>
      </c>
      <c r="H39" s="68" t="n"/>
      <c r="I39" s="68">
        <f>E39-G39</f>
        <v/>
      </c>
      <c r="J39" s="68">
        <f>F39-H39</f>
        <v/>
      </c>
      <c r="K39" s="68" t="n">
        <v>16</v>
      </c>
      <c r="L39" s="140">
        <f>K39*450</f>
        <v/>
      </c>
      <c r="M39" s="140">
        <f>K39*570</f>
        <v/>
      </c>
      <c r="N39" s="68" t="n"/>
    </row>
    <row r="40">
      <c r="B40" s="68" t="n">
        <v>37</v>
      </c>
      <c r="C40" s="68" t="n"/>
      <c r="D40" s="44" t="inlineStr">
        <is>
          <t>염모제 파우치5호</t>
        </is>
      </c>
      <c r="E40" s="68" t="n">
        <v>1</v>
      </c>
      <c r="F40" s="68" t="n"/>
      <c r="G40" s="68" t="n">
        <v>1</v>
      </c>
      <c r="H40" s="68" t="n"/>
      <c r="I40" s="68">
        <f>E40-G40</f>
        <v/>
      </c>
      <c r="J40" s="68">
        <f>F40-H40</f>
        <v/>
      </c>
      <c r="K40" s="68" t="n"/>
      <c r="L40" s="140">
        <f>K40*450</f>
        <v/>
      </c>
      <c r="M40" s="140">
        <f>K40*570</f>
        <v/>
      </c>
      <c r="N40" s="68" t="n"/>
    </row>
    <row r="41">
      <c r="B41" s="68" t="n">
        <v>38</v>
      </c>
      <c r="C41" s="68" t="n"/>
      <c r="D41" s="44" t="inlineStr">
        <is>
          <t>염모제 파우치6호(염모제직구성7호)</t>
        </is>
      </c>
      <c r="E41" s="68" t="n">
        <v>1</v>
      </c>
      <c r="F41" s="68" t="n"/>
      <c r="G41" s="68" t="n">
        <v>1</v>
      </c>
      <c r="H41" s="68" t="n"/>
      <c r="I41" s="68">
        <f>E41-G41</f>
        <v/>
      </c>
      <c r="J41" s="68">
        <f>F41-H41</f>
        <v/>
      </c>
      <c r="K41" s="68" t="n">
        <v>60</v>
      </c>
      <c r="L41" s="140">
        <f>K41*450</f>
        <v/>
      </c>
      <c r="M41" s="140">
        <f>K41*570</f>
        <v/>
      </c>
      <c r="N41" s="68" t="n"/>
    </row>
    <row r="42">
      <c r="B42" s="68" t="n">
        <v>39</v>
      </c>
      <c r="C42" s="68" t="n"/>
      <c r="D42" s="44" t="inlineStr">
        <is>
          <t>산화제 충전2호</t>
        </is>
      </c>
      <c r="E42" s="68" t="n">
        <v>1</v>
      </c>
      <c r="F42" s="68" t="n">
        <v>1</v>
      </c>
      <c r="G42" s="68" t="n">
        <v>1</v>
      </c>
      <c r="H42" s="68" t="n">
        <v>1</v>
      </c>
      <c r="I42" s="68">
        <f>E42-G42</f>
        <v/>
      </c>
      <c r="J42" s="68">
        <f>F42-H42</f>
        <v/>
      </c>
      <c r="K42" s="68" t="n">
        <v>25</v>
      </c>
      <c r="L42" s="140">
        <f>K42*450</f>
        <v/>
      </c>
      <c r="M42" s="140">
        <f>K42*570</f>
        <v/>
      </c>
      <c r="N42" s="68" t="n"/>
    </row>
    <row r="43">
      <c r="B43" s="68" t="n">
        <v>40</v>
      </c>
      <c r="C43" s="68" t="n"/>
      <c r="D43" s="44" t="inlineStr">
        <is>
          <t>산화제 충전3호</t>
        </is>
      </c>
      <c r="E43" s="68" t="n">
        <v>1</v>
      </c>
      <c r="F43" s="68" t="n">
        <v>1</v>
      </c>
      <c r="G43" s="68" t="n">
        <v>1</v>
      </c>
      <c r="H43" s="68" t="n"/>
      <c r="I43" s="68">
        <f>E43-G43</f>
        <v/>
      </c>
      <c r="J43" s="68">
        <f>F43-H43</f>
        <v/>
      </c>
      <c r="K43" s="68" t="n">
        <v>5</v>
      </c>
      <c r="L43" s="140">
        <f>K43*450</f>
        <v/>
      </c>
      <c r="M43" s="140">
        <f>K43*570</f>
        <v/>
      </c>
      <c r="N43" s="68" t="n"/>
    </row>
    <row r="44">
      <c r="B44" s="68" t="n">
        <v>41</v>
      </c>
      <c r="C44" s="68" t="n"/>
      <c r="D44" s="44" t="inlineStr">
        <is>
          <t>산화제 충전5호(직구성5호</t>
        </is>
      </c>
      <c r="E44" s="68" t="n">
        <v>1</v>
      </c>
      <c r="F44" s="68" t="n"/>
      <c r="G44" s="68" t="n">
        <v>1</v>
      </c>
      <c r="H44" s="68" t="n"/>
      <c r="I44" s="68">
        <f>E44-G44</f>
        <v/>
      </c>
      <c r="J44" s="68">
        <f>F44-H44</f>
        <v/>
      </c>
      <c r="K44" s="68" t="n">
        <v>25</v>
      </c>
      <c r="L44" s="140">
        <f>K44*450</f>
        <v/>
      </c>
      <c r="M44" s="140">
        <f>K44*570</f>
        <v/>
      </c>
      <c r="N44" s="68" t="n"/>
    </row>
    <row r="45">
      <c r="B45" s="68" t="n">
        <v>42</v>
      </c>
      <c r="C45" s="68" t="n"/>
      <c r="D45" s="44" t="inlineStr">
        <is>
          <t>산화제 충전6호(염모제직구성7호)</t>
        </is>
      </c>
      <c r="E45" s="68" t="n">
        <v>0.5</v>
      </c>
      <c r="F45" s="68" t="n"/>
      <c r="G45" s="68" t="n">
        <v>0.5</v>
      </c>
      <c r="H45" s="68" t="n"/>
      <c r="I45" s="68">
        <f>E45-G45</f>
        <v/>
      </c>
      <c r="J45" s="68">
        <f>F45-H45</f>
        <v/>
      </c>
      <c r="K45" s="68" t="n">
        <v>35</v>
      </c>
      <c r="L45" s="140">
        <f>K45*450</f>
        <v/>
      </c>
      <c r="M45" s="140">
        <f>K45*570</f>
        <v/>
      </c>
      <c r="N45" s="68" t="n"/>
    </row>
    <row r="46">
      <c r="B46" s="68" t="n">
        <v>43</v>
      </c>
      <c r="C46" s="68" t="n"/>
      <c r="D46" s="44" t="inlineStr">
        <is>
          <t>산화제 충전7호</t>
        </is>
      </c>
      <c r="E46" s="68" t="n">
        <v>1</v>
      </c>
      <c r="F46" s="68" t="n">
        <v>1</v>
      </c>
      <c r="G46" s="68" t="n"/>
      <c r="H46" s="68" t="n"/>
      <c r="I46" s="68">
        <f>E46-G46</f>
        <v/>
      </c>
      <c r="J46" s="68">
        <f>F46-H46</f>
        <v/>
      </c>
      <c r="K46" s="68" t="n"/>
      <c r="L46" s="140">
        <f>K46*450</f>
        <v/>
      </c>
      <c r="M46" s="140">
        <f>K46*570</f>
        <v/>
      </c>
      <c r="N46" s="68" t="n"/>
    </row>
    <row r="47">
      <c r="B47" s="68" t="n">
        <v>44</v>
      </c>
      <c r="C47" s="68" t="n"/>
      <c r="D47" s="44" t="inlineStr">
        <is>
          <t>산화제 충전8호(염모제지구성7호)</t>
        </is>
      </c>
      <c r="E47" s="68" t="n">
        <v>1</v>
      </c>
      <c r="F47" s="68" t="n"/>
      <c r="G47" s="68" t="n">
        <v>1</v>
      </c>
      <c r="H47" s="68" t="n"/>
      <c r="I47" s="68">
        <f>E47-G47</f>
        <v/>
      </c>
      <c r="J47" s="68">
        <f>F47-H47</f>
        <v/>
      </c>
      <c r="K47" s="68" t="n">
        <v>60</v>
      </c>
      <c r="L47" s="140">
        <f>K47*450</f>
        <v/>
      </c>
      <c r="M47" s="140">
        <f>K47*570</f>
        <v/>
      </c>
      <c r="N47" s="68" t="n"/>
    </row>
    <row r="48">
      <c r="B48" s="68" t="n">
        <v>45</v>
      </c>
      <c r="C48" s="68" t="n"/>
      <c r="D48" s="44" t="inlineStr">
        <is>
          <t>염모제 기획</t>
        </is>
      </c>
      <c r="E48" s="68" t="n">
        <v>1</v>
      </c>
      <c r="F48" s="68" t="n">
        <v>10</v>
      </c>
      <c r="G48" s="68" t="n">
        <v>0</v>
      </c>
      <c r="H48" s="68" t="n">
        <v>0</v>
      </c>
      <c r="I48" s="68">
        <f>E48-G48</f>
        <v/>
      </c>
      <c r="J48" s="68">
        <f>F48-H48</f>
        <v/>
      </c>
      <c r="K48" s="68" t="n"/>
      <c r="L48" s="68" t="n"/>
      <c r="M48" s="125" t="n"/>
      <c r="N48" s="68" t="n"/>
    </row>
    <row r="49">
      <c r="B49" s="68" t="n">
        <v>46</v>
      </c>
      <c r="C49" s="68" t="n"/>
      <c r="D49" s="68" t="n"/>
      <c r="E49" s="68" t="n"/>
      <c r="F49" s="68" t="n"/>
      <c r="G49" s="68" t="n"/>
      <c r="H49" s="68" t="n"/>
      <c r="I49" s="68">
        <f>E49-G49</f>
        <v/>
      </c>
      <c r="J49" s="68">
        <f>F49-H49</f>
        <v/>
      </c>
      <c r="K49" s="140" t="n"/>
      <c r="L49" s="137">
        <f>SUM(L28:L48)</f>
        <v/>
      </c>
      <c r="M49" s="137">
        <f>SUM(M28:M48)</f>
        <v/>
      </c>
      <c r="N49" s="68" t="n"/>
    </row>
    <row r="50">
      <c r="L50" s="137">
        <f>L49*5</f>
        <v/>
      </c>
      <c r="M50" s="137">
        <f>M49*5</f>
        <v/>
      </c>
    </row>
  </sheetData>
  <mergeCells count="9">
    <mergeCell ref="L48:M48"/>
    <mergeCell ref="K2:M2"/>
    <mergeCell ref="B2:C3"/>
    <mergeCell ref="G2:H2"/>
    <mergeCell ref="E2:F2"/>
    <mergeCell ref="I2:J2"/>
    <mergeCell ref="C4:C24"/>
    <mergeCell ref="N2:N3"/>
    <mergeCell ref="D2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49"/>
  <sheetViews>
    <sheetView showGridLines="0" tabSelected="1" zoomScale="85" zoomScaleNormal="85" workbookViewId="0">
      <pane ySplit="3" topLeftCell="A4" activePane="bottomLeft" state="frozen"/>
      <selection pane="bottomLeft" activeCell="L17" sqref="L17"/>
    </sheetView>
  </sheetViews>
  <sheetFormatPr baseColWidth="8" defaultColWidth="8.69921875" defaultRowHeight="15.6"/>
  <cols>
    <col width="4.19921875" customWidth="1" style="45" min="1" max="1"/>
    <col width="5" bestFit="1" customWidth="1" style="45" min="2" max="2"/>
    <col width="10.69921875" customWidth="1" style="45" min="3" max="3"/>
    <col width="15.19921875" bestFit="1" customWidth="1" style="45" min="4" max="4"/>
    <col width="13.69921875" bestFit="1" customWidth="1" style="45" min="5" max="5"/>
    <col width="13.69921875" customWidth="1" style="45" min="6" max="6"/>
    <col width="13.69921875" bestFit="1" customWidth="1" style="45" min="7" max="7"/>
    <col width="13.69921875" customWidth="1" style="45" min="8" max="8"/>
    <col width="14.3984375" bestFit="1" customWidth="1" style="45" min="9" max="9"/>
    <col width="14.3984375" customWidth="1" style="45" min="10" max="10"/>
    <col width="10.3984375" customWidth="1" style="134" min="11" max="11"/>
    <col width="14.8984375" customWidth="1" style="134" min="12" max="13"/>
    <col width="33.8984375" customWidth="1" style="45" min="14" max="14"/>
    <col width="8.69921875" customWidth="1" style="45" min="15" max="16384"/>
  </cols>
  <sheetData>
    <row r="2">
      <c r="B2" s="141" t="inlineStr">
        <is>
          <t>구분</t>
        </is>
      </c>
      <c r="C2" s="124" t="n"/>
      <c r="D2" s="59" t="inlineStr">
        <is>
          <t>라인명</t>
        </is>
      </c>
      <c r="E2" s="59" t="inlineStr">
        <is>
          <t>표준 필요 인원</t>
        </is>
      </c>
      <c r="F2" s="125" t="n"/>
      <c r="G2" s="59" t="inlineStr">
        <is>
          <t>현재 가용 인원</t>
        </is>
      </c>
      <c r="H2" s="125" t="n"/>
      <c r="I2" s="59" t="inlineStr">
        <is>
          <t>인원 차이 (+/–)</t>
        </is>
      </c>
      <c r="J2" s="125" t="n"/>
      <c r="K2" s="59" t="inlineStr">
        <is>
          <t>CAPA</t>
        </is>
      </c>
      <c r="L2" s="126" t="n"/>
      <c r="M2" s="125" t="n"/>
      <c r="N2" s="59" t="inlineStr">
        <is>
          <t>비고</t>
        </is>
      </c>
    </row>
    <row r="3">
      <c r="B3" s="127" t="n"/>
      <c r="C3" s="128" t="n"/>
      <c r="D3" s="129" t="n"/>
      <c r="E3" s="59" t="inlineStr">
        <is>
          <t>OP</t>
        </is>
      </c>
      <c r="F3" s="59" t="inlineStr">
        <is>
          <t>작업자</t>
        </is>
      </c>
      <c r="G3" s="59" t="inlineStr">
        <is>
          <t>OP</t>
        </is>
      </c>
      <c r="H3" s="59" t="inlineStr">
        <is>
          <t>작업자</t>
        </is>
      </c>
      <c r="I3" s="59" t="inlineStr">
        <is>
          <t>OP</t>
        </is>
      </c>
      <c r="J3" s="59" t="inlineStr">
        <is>
          <t>작업자</t>
        </is>
      </c>
      <c r="K3" s="59" t="inlineStr">
        <is>
          <t>분</t>
        </is>
      </c>
      <c r="L3" s="59" t="inlineStr">
        <is>
          <t>정상</t>
        </is>
      </c>
      <c r="M3" s="59" t="inlineStr">
        <is>
          <t>잔업</t>
        </is>
      </c>
      <c r="N3" s="129" t="n"/>
    </row>
    <row r="4">
      <c r="B4" s="47" t="n">
        <v>1</v>
      </c>
      <c r="C4" s="63" t="inlineStr">
        <is>
          <t>치약</t>
        </is>
      </c>
      <c r="D4" s="63" t="inlineStr">
        <is>
          <t>치약충전2호</t>
        </is>
      </c>
      <c r="E4" s="47" t="n">
        <v>1</v>
      </c>
      <c r="F4" s="47" t="n">
        <v>2</v>
      </c>
      <c r="G4" s="47" t="n">
        <v>0</v>
      </c>
      <c r="H4" s="47" t="n">
        <v>0</v>
      </c>
      <c r="I4" s="47">
        <f>E4-G4</f>
        <v/>
      </c>
      <c r="J4" s="47">
        <f>F4-H4</f>
        <v/>
      </c>
      <c r="K4" s="142" t="n">
        <v>150</v>
      </c>
      <c r="L4" s="135">
        <f>K4*450</f>
        <v/>
      </c>
      <c r="M4" s="135">
        <f>K4*570</f>
        <v/>
      </c>
      <c r="N4" s="47" t="n"/>
    </row>
    <row r="5">
      <c r="B5" s="47" t="n">
        <v>2</v>
      </c>
      <c r="C5" s="131" t="n"/>
      <c r="D5" s="63" t="inlineStr">
        <is>
          <t>치약충전3호</t>
        </is>
      </c>
      <c r="E5" s="47" t="n">
        <v>1</v>
      </c>
      <c r="F5" s="47" t="n">
        <v>2</v>
      </c>
      <c r="G5" s="47" t="n">
        <v>0</v>
      </c>
      <c r="H5" s="47" t="n">
        <v>0</v>
      </c>
      <c r="I5" s="47">
        <f>E5-G5</f>
        <v/>
      </c>
      <c r="J5" s="47">
        <f>F5-H5</f>
        <v/>
      </c>
      <c r="K5" s="142" t="n">
        <v>150</v>
      </c>
      <c r="L5" s="135">
        <f>K5*450</f>
        <v/>
      </c>
      <c r="M5" s="135">
        <f>K5*570</f>
        <v/>
      </c>
      <c r="N5" s="47" t="n"/>
    </row>
    <row r="6">
      <c r="B6" s="47" t="n">
        <v>3</v>
      </c>
      <c r="C6" s="131" t="n"/>
      <c r="D6" s="63" t="inlineStr">
        <is>
          <t>치약충전4호</t>
        </is>
      </c>
      <c r="E6" s="47" t="n">
        <v>1</v>
      </c>
      <c r="F6" s="47" t="n">
        <v>2</v>
      </c>
      <c r="G6" s="47" t="n">
        <v>1</v>
      </c>
      <c r="H6" s="47" t="n">
        <v>1</v>
      </c>
      <c r="I6" s="47">
        <f>E6-G6</f>
        <v/>
      </c>
      <c r="J6" s="47">
        <f>F6-H6</f>
        <v/>
      </c>
      <c r="K6" s="142" t="n">
        <v>65</v>
      </c>
      <c r="L6" s="135">
        <f>K6*450</f>
        <v/>
      </c>
      <c r="M6" s="135">
        <f>K6*570</f>
        <v/>
      </c>
      <c r="N6" s="50" t="inlineStr">
        <is>
          <t>본품작업시 작업자2명 필요함</t>
        </is>
      </c>
    </row>
    <row r="7">
      <c r="B7" s="47" t="n">
        <v>4</v>
      </c>
      <c r="C7" s="131" t="n"/>
      <c r="D7" s="63" t="inlineStr">
        <is>
          <t>치약충전5호</t>
        </is>
      </c>
      <c r="E7" s="47" t="n">
        <v>1</v>
      </c>
      <c r="F7" s="47" t="n">
        <v>1</v>
      </c>
      <c r="G7" s="47" t="n">
        <v>1</v>
      </c>
      <c r="H7" s="47" t="n">
        <v>2</v>
      </c>
      <c r="I7" s="47">
        <f>E7-G7</f>
        <v/>
      </c>
      <c r="J7" s="47">
        <f>F7-H7</f>
        <v/>
      </c>
      <c r="K7" s="142" t="n">
        <v>150</v>
      </c>
      <c r="L7" s="135">
        <f>K7*450</f>
        <v/>
      </c>
      <c r="M7" s="135">
        <f>K7*570</f>
        <v/>
      </c>
      <c r="N7" s="47" t="inlineStr">
        <is>
          <t>내용물 포터블 capa 130</t>
        </is>
      </c>
    </row>
    <row r="8">
      <c r="B8" s="47" t="n">
        <v>5</v>
      </c>
      <c r="C8" s="131" t="n"/>
      <c r="D8" s="63" t="inlineStr">
        <is>
          <t>치약충전6호</t>
        </is>
      </c>
      <c r="E8" s="47" t="n">
        <v>1</v>
      </c>
      <c r="F8" s="47" t="n">
        <v>1</v>
      </c>
      <c r="G8" s="47" t="n">
        <v>1</v>
      </c>
      <c r="H8" s="47" t="n">
        <v>2</v>
      </c>
      <c r="I8" s="47">
        <f>E8-G8</f>
        <v/>
      </c>
      <c r="J8" s="47">
        <f>F8-H8</f>
        <v/>
      </c>
      <c r="K8" s="142" t="n">
        <v>150</v>
      </c>
      <c r="L8" s="135">
        <f>K8*450</f>
        <v/>
      </c>
      <c r="M8" s="135">
        <f>K8*570</f>
        <v/>
      </c>
      <c r="N8" s="47" t="inlineStr">
        <is>
          <t>내용물 포터블 capa 130</t>
        </is>
      </c>
    </row>
    <row r="9">
      <c r="B9" s="47" t="n">
        <v>6</v>
      </c>
      <c r="C9" s="131" t="n"/>
      <c r="D9" s="63" t="inlineStr">
        <is>
          <t>치약수축2호</t>
        </is>
      </c>
      <c r="E9" s="47" t="n">
        <v>1</v>
      </c>
      <c r="F9" s="47" t="n">
        <v>0</v>
      </c>
      <c r="G9" s="47" t="n">
        <v>0</v>
      </c>
      <c r="H9" s="47" t="n">
        <v>0</v>
      </c>
      <c r="I9" s="47">
        <f>E9-G9</f>
        <v/>
      </c>
      <c r="J9" s="47">
        <f>F9-H9</f>
        <v/>
      </c>
      <c r="K9" s="142" t="n">
        <v>50</v>
      </c>
      <c r="L9" s="135">
        <f>K9*450</f>
        <v/>
      </c>
      <c r="M9" s="135">
        <f>K9*570</f>
        <v/>
      </c>
      <c r="N9" s="47" t="n"/>
    </row>
    <row r="10">
      <c r="B10" s="47" t="n">
        <v>7</v>
      </c>
      <c r="C10" s="131" t="n"/>
      <c r="D10" s="63" t="inlineStr">
        <is>
          <t>치약수축4호</t>
        </is>
      </c>
      <c r="E10" s="47" t="n">
        <v>1</v>
      </c>
      <c r="F10" s="47" t="n">
        <v>1</v>
      </c>
      <c r="G10" s="47" t="n">
        <v>1</v>
      </c>
      <c r="H10" s="47" t="n">
        <v>0</v>
      </c>
      <c r="I10" s="47">
        <f>E10-G10</f>
        <v/>
      </c>
      <c r="J10" s="47">
        <f>F10-H10</f>
        <v/>
      </c>
      <c r="K10" s="142" t="n">
        <v>50</v>
      </c>
      <c r="L10" s="135">
        <f>K10*450</f>
        <v/>
      </c>
      <c r="M10" s="135">
        <f>K10*570</f>
        <v/>
      </c>
      <c r="N10" s="47" t="inlineStr">
        <is>
          <t>내용물 포터블 capa 43</t>
        </is>
      </c>
    </row>
    <row r="11">
      <c r="B11" s="47" t="n">
        <v>8</v>
      </c>
      <c r="C11" s="131" t="n"/>
      <c r="D11" s="63" t="inlineStr">
        <is>
          <t>치약수축5호</t>
        </is>
      </c>
      <c r="E11" s="47" t="n">
        <v>1</v>
      </c>
      <c r="F11" s="47" t="n">
        <v>1</v>
      </c>
      <c r="G11" s="47" t="n">
        <v>1</v>
      </c>
      <c r="H11" s="47" t="n">
        <v>0</v>
      </c>
      <c r="I11" s="47">
        <f>E11-G11</f>
        <v/>
      </c>
      <c r="J11" s="47">
        <f>F11-H11</f>
        <v/>
      </c>
      <c r="K11" s="142" t="n">
        <v>50</v>
      </c>
      <c r="L11" s="135">
        <f>K11*450</f>
        <v/>
      </c>
      <c r="M11" s="135">
        <f>K11*570</f>
        <v/>
      </c>
      <c r="N11" s="47" t="inlineStr">
        <is>
          <t>내용물 포터블 capa 43</t>
        </is>
      </c>
    </row>
    <row r="12">
      <c r="B12" s="47" t="n">
        <v>9</v>
      </c>
      <c r="C12" s="131" t="n"/>
      <c r="D12" s="63" t="inlineStr">
        <is>
          <t>치약기획</t>
        </is>
      </c>
      <c r="E12" s="47" t="n">
        <v>1</v>
      </c>
      <c r="F12" s="47" t="n">
        <v>4</v>
      </c>
      <c r="G12" s="47" t="n">
        <v>0</v>
      </c>
      <c r="H12" s="47" t="n">
        <v>0</v>
      </c>
      <c r="I12" s="47">
        <f>E12-G12</f>
        <v/>
      </c>
      <c r="J12" s="47">
        <f>F12-H12</f>
        <v/>
      </c>
      <c r="K12" s="142" t="n">
        <v>10</v>
      </c>
      <c r="L12" s="135">
        <f>K12*450</f>
        <v/>
      </c>
      <c r="M12" s="135">
        <f>K12*570</f>
        <v/>
      </c>
      <c r="N12" s="47" t="n"/>
    </row>
    <row r="13">
      <c r="B13" s="47" t="n">
        <v>10</v>
      </c>
      <c r="C13" s="129" t="n"/>
      <c r="D13" s="63" t="inlineStr">
        <is>
          <t>일회용 치약충전</t>
        </is>
      </c>
      <c r="E13" s="47" t="n">
        <v>1</v>
      </c>
      <c r="F13" s="47" t="n">
        <v>1</v>
      </c>
      <c r="G13" s="47" t="n">
        <v>0</v>
      </c>
      <c r="H13" s="47" t="n">
        <v>0</v>
      </c>
      <c r="I13" s="47">
        <f>E13-G13</f>
        <v/>
      </c>
      <c r="J13" s="47">
        <f>F13-H13</f>
        <v/>
      </c>
      <c r="K13" s="142" t="n">
        <v>220</v>
      </c>
      <c r="L13" s="135">
        <f>K13*450</f>
        <v/>
      </c>
      <c r="M13" s="135">
        <f>K13*570</f>
        <v/>
      </c>
      <c r="N13" s="47" t="n"/>
    </row>
    <row r="14">
      <c r="B14" s="47" t="n">
        <v>11</v>
      </c>
      <c r="C14" s="52" t="n"/>
      <c r="D14" s="47" t="n"/>
      <c r="E14" s="47" t="n"/>
      <c r="F14" s="47" t="n"/>
      <c r="G14" s="47" t="n"/>
      <c r="H14" s="47" t="n"/>
      <c r="I14" s="47">
        <f>E14-G14</f>
        <v/>
      </c>
      <c r="J14" s="47">
        <f>F14-H14</f>
        <v/>
      </c>
      <c r="K14" s="135" t="n"/>
      <c r="L14" s="137">
        <f>SUM(L4:L13)</f>
        <v/>
      </c>
      <c r="M14" s="137">
        <f>SUM(M4:M13)</f>
        <v/>
      </c>
      <c r="N14" s="47" t="n"/>
    </row>
    <row r="15">
      <c r="B15" s="47" t="n">
        <v>12</v>
      </c>
      <c r="C15" s="52" t="n"/>
      <c r="D15" s="47" t="n"/>
      <c r="E15" s="47" t="n"/>
      <c r="F15" s="47" t="n"/>
      <c r="G15" s="47" t="n"/>
      <c r="H15" s="47" t="n"/>
      <c r="I15" s="47">
        <f>E15-G15</f>
        <v/>
      </c>
      <c r="J15" s="47">
        <f>F15-H15</f>
        <v/>
      </c>
      <c r="K15" s="135" t="n"/>
      <c r="L15" s="137">
        <f>L14*5</f>
        <v/>
      </c>
      <c r="M15" s="137">
        <f>M14*5</f>
        <v/>
      </c>
      <c r="N15" s="65" t="inlineStr">
        <is>
          <t>충전5호기(수축4)&gt;&gt;5.6호기 동시 생산시 단상자 투입인원1명</t>
        </is>
      </c>
    </row>
    <row r="16">
      <c r="B16" s="47" t="n">
        <v>13</v>
      </c>
      <c r="C16" s="52" t="n"/>
      <c r="D16" s="47" t="n"/>
      <c r="E16" s="47" t="n"/>
      <c r="F16" s="47" t="n"/>
      <c r="G16" s="47" t="n"/>
      <c r="H16" s="47" t="n"/>
      <c r="I16" s="47">
        <f>E16-G16</f>
        <v/>
      </c>
      <c r="J16" s="47">
        <f>F16-H16</f>
        <v/>
      </c>
      <c r="K16" s="135" t="n"/>
      <c r="L16" s="135" t="n"/>
      <c r="M16" s="135" t="n"/>
      <c r="N16" s="65" t="inlineStr">
        <is>
          <t>충전6(수축5)</t>
        </is>
      </c>
    </row>
    <row r="17">
      <c r="B17" s="47" t="n">
        <v>14</v>
      </c>
      <c r="C17" s="52" t="n"/>
      <c r="D17" s="47" t="n"/>
      <c r="E17" s="47" t="n"/>
      <c r="F17" s="47" t="n"/>
      <c r="G17" s="47" t="n"/>
      <c r="H17" s="47" t="n"/>
      <c r="I17" s="47">
        <f>E17-G17</f>
        <v/>
      </c>
      <c r="J17" s="47">
        <f>F17-H17</f>
        <v/>
      </c>
      <c r="K17" s="135" t="n"/>
      <c r="L17" s="135" t="n"/>
      <c r="M17" s="135" t="n"/>
      <c r="N17" s="65" t="inlineStr">
        <is>
          <t>충전5 6호기 동시생산시에는 7명필요합니다</t>
        </is>
      </c>
    </row>
    <row r="18">
      <c r="B18" s="47" t="n">
        <v>15</v>
      </c>
      <c r="C18" s="52" t="n"/>
      <c r="D18" s="47" t="n"/>
      <c r="E18" s="47" t="n"/>
      <c r="F18" s="47" t="n"/>
      <c r="G18" s="47" t="n"/>
      <c r="H18" s="47" t="n"/>
      <c r="I18" s="47">
        <f>E18-G18</f>
        <v/>
      </c>
      <c r="J18" s="47">
        <f>F18-H18</f>
        <v/>
      </c>
      <c r="K18" s="135" t="n"/>
      <c r="L18" s="135" t="n"/>
      <c r="M18" s="135" t="n"/>
      <c r="N18" s="47" t="n"/>
    </row>
    <row r="19">
      <c r="B19" s="47" t="n">
        <v>16</v>
      </c>
      <c r="C19" s="52" t="n"/>
      <c r="D19" s="47" t="n"/>
      <c r="E19" s="47" t="n"/>
      <c r="F19" s="47" t="n"/>
      <c r="G19" s="47" t="n"/>
      <c r="H19" s="47" t="n"/>
      <c r="I19" s="47">
        <f>E19-G19</f>
        <v/>
      </c>
      <c r="J19" s="47">
        <f>F19-H19</f>
        <v/>
      </c>
      <c r="K19" s="135" t="n"/>
      <c r="L19" s="135" t="n"/>
      <c r="M19" s="135" t="n"/>
      <c r="N19" s="47" t="n"/>
    </row>
    <row r="20">
      <c r="B20" s="47" t="n">
        <v>17</v>
      </c>
      <c r="C20" s="52" t="n"/>
      <c r="D20" s="47" t="n"/>
      <c r="E20" s="47" t="n"/>
      <c r="F20" s="47" t="n"/>
      <c r="G20" s="47" t="n"/>
      <c r="H20" s="47" t="n"/>
      <c r="I20" s="47">
        <f>E20-G20</f>
        <v/>
      </c>
      <c r="J20" s="47">
        <f>F20-H20</f>
        <v/>
      </c>
      <c r="K20" s="135" t="n"/>
      <c r="L20" s="135" t="n"/>
      <c r="M20" s="135" t="n"/>
      <c r="N20" s="47" t="n"/>
    </row>
    <row r="21">
      <c r="B21" s="47" t="n">
        <v>18</v>
      </c>
      <c r="C21" s="52" t="n"/>
      <c r="D21" s="47" t="n"/>
      <c r="E21" s="47" t="n"/>
      <c r="F21" s="47" t="n"/>
      <c r="G21" s="47" t="n"/>
      <c r="H21" s="47" t="n"/>
      <c r="I21" s="47">
        <f>E21-G21</f>
        <v/>
      </c>
      <c r="J21" s="47">
        <f>F21-H21</f>
        <v/>
      </c>
      <c r="K21" s="135" t="n"/>
      <c r="L21" s="135" t="n"/>
      <c r="M21" s="135" t="n"/>
      <c r="N21" s="47" t="n"/>
    </row>
    <row r="22">
      <c r="B22" s="47" t="n">
        <v>19</v>
      </c>
      <c r="C22" s="52" t="n"/>
      <c r="D22" s="47" t="n"/>
      <c r="E22" s="47" t="n"/>
      <c r="F22" s="47" t="n"/>
      <c r="G22" s="47" t="n"/>
      <c r="H22" s="47" t="n"/>
      <c r="I22" s="47">
        <f>E22-G22</f>
        <v/>
      </c>
      <c r="J22" s="47">
        <f>F22-H22</f>
        <v/>
      </c>
      <c r="K22" s="135" t="n"/>
      <c r="L22" s="135" t="n"/>
      <c r="M22" s="135" t="n"/>
      <c r="N22" s="47" t="n"/>
    </row>
    <row r="23">
      <c r="B23" s="47" t="n">
        <v>20</v>
      </c>
      <c r="C23" s="52" t="n"/>
      <c r="D23" s="47" t="n"/>
      <c r="E23" s="47" t="n"/>
      <c r="F23" s="47" t="n"/>
      <c r="G23" s="47" t="n"/>
      <c r="H23" s="47" t="n"/>
      <c r="I23" s="47">
        <f>E23-G23</f>
        <v/>
      </c>
      <c r="J23" s="47">
        <f>F23-H23</f>
        <v/>
      </c>
      <c r="K23" s="135" t="n"/>
      <c r="L23" s="135" t="n"/>
      <c r="M23" s="135" t="n"/>
      <c r="N23" s="47" t="n"/>
    </row>
    <row r="24">
      <c r="B24" s="47" t="n">
        <v>21</v>
      </c>
      <c r="C24" s="52" t="n"/>
      <c r="D24" s="47" t="n"/>
      <c r="E24" s="47" t="n"/>
      <c r="F24" s="47" t="n"/>
      <c r="G24" s="47" t="n"/>
      <c r="H24" s="47" t="n"/>
      <c r="I24" s="47">
        <f>E24-G24</f>
        <v/>
      </c>
      <c r="J24" s="47">
        <f>F24-H24</f>
        <v/>
      </c>
      <c r="K24" s="135" t="n"/>
      <c r="L24" s="135" t="n"/>
      <c r="M24" s="135" t="n"/>
      <c r="N24" s="47" t="n"/>
    </row>
    <row r="25">
      <c r="B25" s="47" t="n">
        <v>22</v>
      </c>
      <c r="C25" s="52" t="n"/>
      <c r="D25" s="47" t="n"/>
      <c r="E25" s="47" t="n"/>
      <c r="F25" s="47" t="n"/>
      <c r="G25" s="47" t="n"/>
      <c r="H25" s="47" t="n"/>
      <c r="I25" s="47">
        <f>E25-G25</f>
        <v/>
      </c>
      <c r="J25" s="47">
        <f>F25-H25</f>
        <v/>
      </c>
      <c r="K25" s="135" t="n"/>
      <c r="L25" s="135" t="n"/>
      <c r="M25" s="135" t="n"/>
      <c r="N25" s="47" t="n"/>
    </row>
    <row r="26">
      <c r="B26" s="47" t="n">
        <v>23</v>
      </c>
      <c r="C26" s="52" t="n"/>
      <c r="D26" s="47" t="n"/>
      <c r="E26" s="47" t="n"/>
      <c r="F26" s="47" t="n"/>
      <c r="G26" s="47" t="n"/>
      <c r="H26" s="47" t="n"/>
      <c r="I26" s="47">
        <f>E26-G26</f>
        <v/>
      </c>
      <c r="J26" s="47">
        <f>F26-H26</f>
        <v/>
      </c>
      <c r="K26" s="135" t="n"/>
      <c r="L26" s="135" t="n"/>
      <c r="M26" s="135" t="n"/>
      <c r="N26" s="47" t="n"/>
    </row>
    <row r="27">
      <c r="B27" s="47" t="n">
        <v>24</v>
      </c>
      <c r="C27" s="52" t="n"/>
      <c r="D27" s="47" t="n"/>
      <c r="E27" s="47" t="n"/>
      <c r="F27" s="47" t="n"/>
      <c r="G27" s="47" t="n"/>
      <c r="H27" s="47" t="n"/>
      <c r="I27" s="47">
        <f>E27-G27</f>
        <v/>
      </c>
      <c r="J27" s="47">
        <f>F27-H27</f>
        <v/>
      </c>
      <c r="K27" s="135" t="n"/>
      <c r="L27" s="135" t="n"/>
      <c r="M27" s="135" t="n"/>
      <c r="N27" s="47" t="n"/>
    </row>
    <row r="28">
      <c r="B28" s="47" t="n">
        <v>25</v>
      </c>
      <c r="C28" s="52" t="n"/>
      <c r="D28" s="47" t="n"/>
      <c r="E28" s="47" t="n"/>
      <c r="F28" s="47" t="n"/>
      <c r="G28" s="47" t="n"/>
      <c r="H28" s="47" t="n"/>
      <c r="I28" s="47">
        <f>E28-G28</f>
        <v/>
      </c>
      <c r="J28" s="47">
        <f>F28-H28</f>
        <v/>
      </c>
      <c r="K28" s="135" t="n"/>
      <c r="L28" s="135" t="n"/>
      <c r="M28" s="135" t="n"/>
      <c r="N28" s="47" t="n"/>
    </row>
    <row r="29">
      <c r="B29" s="47" t="n">
        <v>26</v>
      </c>
      <c r="C29" s="52" t="n"/>
      <c r="D29" s="47" t="n"/>
      <c r="E29" s="47" t="n"/>
      <c r="F29" s="47" t="n"/>
      <c r="G29" s="47" t="n"/>
      <c r="H29" s="47" t="n"/>
      <c r="I29" s="47">
        <f>E29-G29</f>
        <v/>
      </c>
      <c r="J29" s="47">
        <f>F29-H29</f>
        <v/>
      </c>
      <c r="K29" s="135" t="n"/>
      <c r="L29" s="135" t="n"/>
      <c r="M29" s="135" t="n"/>
      <c r="N29" s="47" t="n"/>
    </row>
    <row r="30">
      <c r="B30" s="47" t="n">
        <v>27</v>
      </c>
      <c r="C30" s="52" t="n"/>
      <c r="D30" s="47" t="n"/>
      <c r="E30" s="47" t="n"/>
      <c r="F30" s="47" t="n"/>
      <c r="G30" s="47" t="n"/>
      <c r="H30" s="47" t="n"/>
      <c r="I30" s="47">
        <f>E30-G30</f>
        <v/>
      </c>
      <c r="J30" s="47">
        <f>F30-H30</f>
        <v/>
      </c>
      <c r="K30" s="135" t="n"/>
      <c r="L30" s="135" t="n"/>
      <c r="M30" s="135" t="n"/>
      <c r="N30" s="47" t="n"/>
    </row>
    <row r="31">
      <c r="B31" s="47" t="n">
        <v>28</v>
      </c>
      <c r="C31" s="52" t="n"/>
      <c r="D31" s="47" t="n"/>
      <c r="E31" s="47" t="n"/>
      <c r="F31" s="47" t="n"/>
      <c r="G31" s="47" t="n"/>
      <c r="H31" s="47" t="n"/>
      <c r="I31" s="47">
        <f>E31-G31</f>
        <v/>
      </c>
      <c r="J31" s="47">
        <f>F31-H31</f>
        <v/>
      </c>
      <c r="K31" s="135" t="n"/>
      <c r="L31" s="135" t="n"/>
      <c r="M31" s="135" t="n"/>
      <c r="N31" s="47" t="n"/>
    </row>
    <row r="32">
      <c r="B32" s="47" t="n">
        <v>29</v>
      </c>
      <c r="C32" s="52" t="n"/>
      <c r="D32" s="47" t="n"/>
      <c r="E32" s="47" t="n"/>
      <c r="F32" s="47" t="n"/>
      <c r="G32" s="47" t="n"/>
      <c r="H32" s="47" t="n"/>
      <c r="I32" s="47">
        <f>E32-G32</f>
        <v/>
      </c>
      <c r="J32" s="47">
        <f>F32-H32</f>
        <v/>
      </c>
      <c r="K32" s="135" t="n"/>
      <c r="L32" s="135" t="n"/>
      <c r="M32" s="135" t="n"/>
      <c r="N32" s="47" t="n"/>
    </row>
    <row r="33">
      <c r="B33" s="47" t="n">
        <v>30</v>
      </c>
      <c r="C33" s="52" t="n"/>
      <c r="D33" s="47" t="n"/>
      <c r="E33" s="47" t="n"/>
      <c r="F33" s="47" t="n"/>
      <c r="G33" s="47" t="n"/>
      <c r="H33" s="47" t="n"/>
      <c r="I33" s="47">
        <f>E33-G33</f>
        <v/>
      </c>
      <c r="J33" s="47">
        <f>F33-H33</f>
        <v/>
      </c>
      <c r="K33" s="135" t="n"/>
      <c r="L33" s="135" t="n"/>
      <c r="M33" s="135" t="n"/>
      <c r="N33" s="47" t="n"/>
    </row>
    <row r="34">
      <c r="B34" s="47" t="n">
        <v>31</v>
      </c>
      <c r="C34" s="52" t="n"/>
      <c r="D34" s="47" t="n"/>
      <c r="E34" s="47" t="n"/>
      <c r="F34" s="47" t="n"/>
      <c r="G34" s="47" t="n"/>
      <c r="H34" s="47" t="n"/>
      <c r="I34" s="47">
        <f>E34-G34</f>
        <v/>
      </c>
      <c r="J34" s="47">
        <f>F34-H34</f>
        <v/>
      </c>
      <c r="K34" s="135" t="n"/>
      <c r="L34" s="135" t="n"/>
      <c r="M34" s="135" t="n"/>
      <c r="N34" s="47" t="n"/>
    </row>
    <row r="35">
      <c r="B35" s="47" t="n">
        <v>32</v>
      </c>
      <c r="C35" s="52" t="n"/>
      <c r="D35" s="47" t="n"/>
      <c r="E35" s="47" t="n"/>
      <c r="F35" s="47" t="n"/>
      <c r="G35" s="47" t="n"/>
      <c r="H35" s="47" t="n"/>
      <c r="I35" s="47">
        <f>E35-G35</f>
        <v/>
      </c>
      <c r="J35" s="47">
        <f>F35-H35</f>
        <v/>
      </c>
      <c r="K35" s="135" t="n"/>
      <c r="L35" s="135" t="n"/>
      <c r="M35" s="135" t="n"/>
      <c r="N35" s="47" t="n"/>
    </row>
    <row r="36">
      <c r="B36" s="47" t="n">
        <v>33</v>
      </c>
      <c r="C36" s="47" t="n"/>
      <c r="D36" s="47" t="n"/>
      <c r="E36" s="47" t="n"/>
      <c r="F36" s="47" t="n"/>
      <c r="G36" s="47" t="n"/>
      <c r="H36" s="47" t="n"/>
      <c r="I36" s="47">
        <f>E36-G36</f>
        <v/>
      </c>
      <c r="J36" s="47">
        <f>F36-H36</f>
        <v/>
      </c>
      <c r="K36" s="135" t="n"/>
      <c r="L36" s="135" t="n"/>
      <c r="M36" s="135" t="n"/>
      <c r="N36" s="47" t="n"/>
    </row>
    <row r="37">
      <c r="B37" s="47" t="n">
        <v>34</v>
      </c>
      <c r="C37" s="47" t="n"/>
      <c r="D37" s="47" t="n"/>
      <c r="E37" s="47" t="n"/>
      <c r="F37" s="47" t="n"/>
      <c r="G37" s="47" t="n"/>
      <c r="H37" s="47" t="n"/>
      <c r="I37" s="47">
        <f>E37-G37</f>
        <v/>
      </c>
      <c r="J37" s="47">
        <f>F37-H37</f>
        <v/>
      </c>
      <c r="K37" s="135" t="n"/>
      <c r="L37" s="135" t="n"/>
      <c r="M37" s="135" t="n"/>
      <c r="N37" s="47" t="n"/>
    </row>
    <row r="38">
      <c r="B38" s="47" t="n">
        <v>35</v>
      </c>
      <c r="C38" s="47" t="n"/>
      <c r="D38" s="47" t="n"/>
      <c r="E38" s="47" t="n"/>
      <c r="F38" s="47" t="n"/>
      <c r="G38" s="47" t="n"/>
      <c r="H38" s="47" t="n"/>
      <c r="I38" s="47">
        <f>E38-G38</f>
        <v/>
      </c>
      <c r="J38" s="47">
        <f>F38-H38</f>
        <v/>
      </c>
      <c r="K38" s="135" t="n"/>
      <c r="L38" s="135" t="n"/>
      <c r="M38" s="135" t="n"/>
      <c r="N38" s="47" t="n"/>
    </row>
    <row r="39">
      <c r="B39" s="47" t="n">
        <v>36</v>
      </c>
      <c r="C39" s="47" t="n"/>
      <c r="D39" s="47" t="n"/>
      <c r="E39" s="47" t="n"/>
      <c r="F39" s="47" t="n"/>
      <c r="G39" s="47" t="n"/>
      <c r="H39" s="47" t="n"/>
      <c r="I39" s="47">
        <f>E39-G39</f>
        <v/>
      </c>
      <c r="J39" s="47">
        <f>F39-H39</f>
        <v/>
      </c>
      <c r="K39" s="135" t="n"/>
      <c r="L39" s="135" t="n"/>
      <c r="M39" s="135" t="n"/>
      <c r="N39" s="47" t="n"/>
    </row>
    <row r="40">
      <c r="B40" s="47" t="n">
        <v>37</v>
      </c>
      <c r="C40" s="47" t="n"/>
      <c r="D40" s="47" t="n"/>
      <c r="E40" s="47" t="n"/>
      <c r="F40" s="47" t="n"/>
      <c r="G40" s="47" t="n"/>
      <c r="H40" s="47" t="n"/>
      <c r="I40" s="47">
        <f>E40-G40</f>
        <v/>
      </c>
      <c r="J40" s="47">
        <f>F40-H40</f>
        <v/>
      </c>
      <c r="K40" s="135" t="n"/>
      <c r="L40" s="135" t="n"/>
      <c r="M40" s="135" t="n"/>
      <c r="N40" s="47" t="n"/>
    </row>
    <row r="41">
      <c r="B41" s="47" t="n">
        <v>38</v>
      </c>
      <c r="C41" s="47" t="n"/>
      <c r="D41" s="47" t="n"/>
      <c r="E41" s="47" t="n"/>
      <c r="F41" s="47" t="n"/>
      <c r="G41" s="47" t="n"/>
      <c r="H41" s="47" t="n"/>
      <c r="I41" s="47">
        <f>E41-G41</f>
        <v/>
      </c>
      <c r="J41" s="47">
        <f>F41-H41</f>
        <v/>
      </c>
      <c r="K41" s="135" t="n"/>
      <c r="L41" s="135" t="n"/>
      <c r="M41" s="135" t="n"/>
      <c r="N41" s="47" t="n"/>
    </row>
    <row r="42">
      <c r="B42" s="47" t="n">
        <v>39</v>
      </c>
      <c r="C42" s="47" t="n"/>
      <c r="D42" s="47" t="n"/>
      <c r="E42" s="47" t="n"/>
      <c r="F42" s="47" t="n"/>
      <c r="G42" s="47" t="n"/>
      <c r="H42" s="47" t="n"/>
      <c r="I42" s="47">
        <f>E42-G42</f>
        <v/>
      </c>
      <c r="J42" s="47">
        <f>F42-H42</f>
        <v/>
      </c>
      <c r="K42" s="135" t="n"/>
      <c r="L42" s="135" t="n"/>
      <c r="M42" s="135" t="n"/>
      <c r="N42" s="47" t="n"/>
    </row>
    <row r="43">
      <c r="B43" s="47" t="n">
        <v>40</v>
      </c>
      <c r="C43" s="47" t="n"/>
      <c r="D43" s="47" t="n"/>
      <c r="E43" s="47" t="n"/>
      <c r="F43" s="47" t="n"/>
      <c r="G43" s="47" t="n"/>
      <c r="H43" s="47" t="n"/>
      <c r="I43" s="47">
        <f>E43-G43</f>
        <v/>
      </c>
      <c r="J43" s="47">
        <f>F43-H43</f>
        <v/>
      </c>
      <c r="K43" s="135" t="n"/>
      <c r="L43" s="135" t="n"/>
      <c r="M43" s="135" t="n"/>
      <c r="N43" s="47" t="n"/>
    </row>
    <row r="44">
      <c r="B44" s="47" t="n">
        <v>41</v>
      </c>
      <c r="C44" s="47" t="n"/>
      <c r="D44" s="47" t="n"/>
      <c r="E44" s="47" t="n"/>
      <c r="F44" s="47" t="n"/>
      <c r="G44" s="47" t="n"/>
      <c r="H44" s="47" t="n"/>
      <c r="I44" s="47">
        <f>E44-G44</f>
        <v/>
      </c>
      <c r="J44" s="47">
        <f>F44-H44</f>
        <v/>
      </c>
      <c r="K44" s="135" t="n"/>
      <c r="L44" s="135" t="n"/>
      <c r="M44" s="135" t="n"/>
      <c r="N44" s="47" t="n"/>
    </row>
    <row r="45">
      <c r="B45" s="47" t="n">
        <v>42</v>
      </c>
      <c r="C45" s="47" t="n"/>
      <c r="D45" s="47" t="n"/>
      <c r="E45" s="47" t="n"/>
      <c r="F45" s="47" t="n"/>
      <c r="G45" s="47" t="n"/>
      <c r="H45" s="47" t="n"/>
      <c r="I45" s="47">
        <f>E45-G45</f>
        <v/>
      </c>
      <c r="J45" s="47">
        <f>F45-H45</f>
        <v/>
      </c>
      <c r="K45" s="135" t="n"/>
      <c r="L45" s="135" t="n"/>
      <c r="M45" s="135" t="n"/>
      <c r="N45" s="47" t="n"/>
    </row>
    <row r="46">
      <c r="B46" s="47" t="n">
        <v>43</v>
      </c>
      <c r="C46" s="47" t="n"/>
      <c r="D46" s="47" t="n"/>
      <c r="E46" s="47" t="n"/>
      <c r="F46" s="47" t="n"/>
      <c r="G46" s="47" t="n"/>
      <c r="H46" s="47" t="n"/>
      <c r="I46" s="47">
        <f>E46-G46</f>
        <v/>
      </c>
      <c r="J46" s="47">
        <f>F46-H46</f>
        <v/>
      </c>
      <c r="K46" s="135" t="n"/>
      <c r="L46" s="135" t="n"/>
      <c r="M46" s="135" t="n"/>
      <c r="N46" s="47" t="n"/>
    </row>
    <row r="47">
      <c r="B47" s="47" t="n">
        <v>44</v>
      </c>
      <c r="C47" s="47" t="n"/>
      <c r="D47" s="47" t="n"/>
      <c r="E47" s="47" t="n"/>
      <c r="F47" s="47" t="n"/>
      <c r="G47" s="47" t="n"/>
      <c r="H47" s="47" t="n"/>
      <c r="I47" s="47">
        <f>E47-G47</f>
        <v/>
      </c>
      <c r="J47" s="47">
        <f>F47-H47</f>
        <v/>
      </c>
      <c r="K47" s="135" t="n"/>
      <c r="L47" s="135" t="n"/>
      <c r="M47" s="135" t="n"/>
      <c r="N47" s="47" t="n"/>
    </row>
    <row r="48">
      <c r="B48" s="47" t="n">
        <v>45</v>
      </c>
      <c r="C48" s="47" t="n"/>
      <c r="D48" s="47" t="n"/>
      <c r="E48" s="47" t="n"/>
      <c r="F48" s="47" t="n"/>
      <c r="G48" s="47" t="n"/>
      <c r="H48" s="47" t="n"/>
      <c r="I48" s="47">
        <f>E48-G48</f>
        <v/>
      </c>
      <c r="J48" s="47">
        <f>F48-H48</f>
        <v/>
      </c>
      <c r="K48" s="135" t="n"/>
      <c r="L48" s="135" t="n"/>
      <c r="M48" s="135" t="n"/>
      <c r="N48" s="47" t="n"/>
    </row>
    <row r="49">
      <c r="B49" s="47" t="n">
        <v>46</v>
      </c>
      <c r="C49" s="47" t="n"/>
      <c r="D49" s="47" t="n"/>
      <c r="E49" s="47" t="n"/>
      <c r="F49" s="47" t="n"/>
      <c r="G49" s="47" t="n"/>
      <c r="H49" s="47" t="n"/>
      <c r="I49" s="47">
        <f>E49-G49</f>
        <v/>
      </c>
      <c r="J49" s="47">
        <f>F49-H49</f>
        <v/>
      </c>
      <c r="K49" s="135" t="n"/>
      <c r="L49" s="135" t="n"/>
      <c r="M49" s="135" t="n"/>
      <c r="N49" s="47" t="n"/>
    </row>
  </sheetData>
  <mergeCells count="8">
    <mergeCell ref="C4:C13"/>
    <mergeCell ref="K2:M2"/>
    <mergeCell ref="B2:C3"/>
    <mergeCell ref="G2:H2"/>
    <mergeCell ref="E2:F2"/>
    <mergeCell ref="I2:J2"/>
    <mergeCell ref="N2:N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Zeniel</dc:creator>
  <dcterms:created xsi:type="dcterms:W3CDTF">2026-01-13T00:50:24Z</dcterms:created>
  <dcterms:modified xsi:type="dcterms:W3CDTF">2026-09-02T06:49:27Z</dcterms:modified>
  <cp:lastModifiedBy>Zeniel</cp:lastModifiedBy>
  <cp:lastPrinted>2026-01-13T05:54:40Z</cp:lastPrinted>
</cp:coreProperties>
</file>